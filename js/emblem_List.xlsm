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5" windowWidth="13800" windowHeight="9390"/>
  </bookViews>
  <sheets>
    <sheet name="자료" sheetId="2" r:id="rId1"/>
    <sheet name="Sheet1" sheetId="1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39" i="1"/>
  <c r="H39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2"/>
  <c r="D39"/>
  <c r="E39"/>
  <c r="C39"/>
</calcChain>
</file>

<file path=xl/sharedStrings.xml><?xml version="1.0" encoding="utf-8"?>
<sst xmlns="http://schemas.openxmlformats.org/spreadsheetml/2006/main" count="680" uniqueCount="139">
  <si>
    <t>색상</t>
    <phoneticPr fontId="3" type="noConversion"/>
  </si>
  <si>
    <t>타입</t>
    <phoneticPr fontId="3" type="noConversion"/>
  </si>
  <si>
    <t>붉은</t>
    <phoneticPr fontId="3" type="noConversion"/>
  </si>
  <si>
    <t>노란</t>
    <phoneticPr fontId="3" type="noConversion"/>
  </si>
  <si>
    <t>녹색</t>
    <phoneticPr fontId="3" type="noConversion"/>
  </si>
  <si>
    <t>파란</t>
    <phoneticPr fontId="3" type="noConversion"/>
  </si>
  <si>
    <t>듀얼</t>
    <phoneticPr fontId="3" type="noConversion"/>
  </si>
  <si>
    <t>총합</t>
    <phoneticPr fontId="3" type="noConversion"/>
  </si>
  <si>
    <t>확률(전체)</t>
    <phoneticPr fontId="3" type="noConversion"/>
  </si>
  <si>
    <t>확률(화려)</t>
    <phoneticPr fontId="3" type="noConversion"/>
  </si>
  <si>
    <t>확률(찬란)</t>
    <phoneticPr fontId="3" type="noConversion"/>
  </si>
  <si>
    <t>다색</t>
    <phoneticPr fontId="3" type="noConversion"/>
  </si>
  <si>
    <t>emblemList = [</t>
    <phoneticPr fontId="3" type="noConversion"/>
  </si>
  <si>
    <t>["</t>
    <phoneticPr fontId="3" type="noConversion"/>
  </si>
  <si>
    <t>",</t>
    <phoneticPr fontId="3" type="noConversion"/>
  </si>
  <si>
    <t>[1] : 등급</t>
    <phoneticPr fontId="3" type="noConversion"/>
  </si>
  <si>
    <t>듀얼 엠블렘[힘 + HP MAX]</t>
  </si>
  <si>
    <t>듀얼 엠블렘[지능 + 마법크리티컬]</t>
  </si>
  <si>
    <t>듀얼 엠블렘[힘 + 물리크리티컬]</t>
  </si>
  <si>
    <t>듀얼 엠블렘[힘 + MP MAX]</t>
  </si>
  <si>
    <t>듀얼 엠블렘[지능 + MP MAX]</t>
  </si>
  <si>
    <t>듀얼 엠블렘[힘 + 회피율]</t>
  </si>
  <si>
    <t>듀얼 엠블렘[지능 + 회피율]</t>
  </si>
  <si>
    <t>듀얼 엠블렘[공격속도 + 이동속도]</t>
  </si>
  <si>
    <t>듀얼 엠블렘[캐스트속도 + 이동속도]</t>
  </si>
  <si>
    <t>듀얼 엠블렘[힛리커버리 + 이동속도]</t>
  </si>
  <si>
    <t>듀얼 엠블렘[공석 + 적중률]</t>
  </si>
  <si>
    <t>듀얼 엠블렘[캐스트속도 + 적중률]</t>
  </si>
  <si>
    <t>듀얼 엠블렘[힛리커버리 + 적중률]</t>
  </si>
  <si>
    <t>붉은빛 엠블렘 [힘]</t>
  </si>
  <si>
    <t>붉은빛 엠블렘 [지능]</t>
  </si>
  <si>
    <t>붉은빛 엠블렘 [체력]</t>
  </si>
  <si>
    <t>붉은빛 엠블렘 [정신력]</t>
  </si>
  <si>
    <t>붉은빛 엠블렘 [모든스탯]</t>
  </si>
  <si>
    <t>노란빛 엠블렘 [캐스트속도]</t>
  </si>
  <si>
    <t>노란빛 엠블렘 [힛리커버리]</t>
  </si>
  <si>
    <t>노란빛 엠블렘 [HP회복]</t>
  </si>
  <si>
    <t>노란빛 엠블렘 [공격속도]</t>
  </si>
  <si>
    <t>노란빛 엠블렘 [MP회복]</t>
  </si>
  <si>
    <t>녹색빛 엠블렘 [물리크리티컬]</t>
  </si>
  <si>
    <t>녹색빛 엠블렘 [HP MAX]</t>
  </si>
  <si>
    <t>녹색빛 엠블렘 [마법크리티컬]</t>
  </si>
  <si>
    <t>녹색빛 엠블렘 [MP MAX]</t>
  </si>
  <si>
    <t>녹색빛 엠블렘 [회피율]</t>
  </si>
  <si>
    <t>푸른빛 엠블렘 [적중률]</t>
  </si>
  <si>
    <t>푸른빛 엠블렘 [이동속도]</t>
  </si>
  <si>
    <t>푸른빛 엠블렘 [물리방어]</t>
  </si>
  <si>
    <t>푸른빛 엠블렘 [마법방어]</t>
  </si>
  <si>
    <t>푸른빛 엠블렘 [점프력]</t>
  </si>
  <si>
    <t>다색 엠블렘 [모든 상태이상 저항]</t>
  </si>
  <si>
    <t>다색 엠블렘 [모든 속성 저항]</t>
  </si>
  <si>
    <t>다색 엠블렘 [인벤토리 한도]</t>
  </si>
  <si>
    <t>","</t>
    <phoneticPr fontId="3" type="noConversion"/>
  </si>
  <si>
    <t>","</t>
    <phoneticPr fontId="3" type="noConversion"/>
  </si>
  <si>
    <t>,</t>
    <phoneticPr fontId="3" type="noConversion"/>
  </si>
  <si>
    <t>],</t>
    <phoneticPr fontId="3" type="noConversion"/>
  </si>
  <si>
    <t>]</t>
    <phoneticPr fontId="3" type="noConversion"/>
  </si>
  <si>
    <t>];</t>
    <phoneticPr fontId="3" type="noConversion"/>
  </si>
  <si>
    <t>[3] : 확률</t>
    <phoneticPr fontId="3" type="noConversion"/>
  </si>
  <si>
    <t>[4] : 보유량</t>
    <phoneticPr fontId="3" type="noConversion"/>
  </si>
  <si>
    <t>[2] : 이미지 링크</t>
    <phoneticPr fontId="3" type="noConversion"/>
  </si>
  <si>
    <t>rare</t>
  </si>
  <si>
    <t>unique</t>
  </si>
  <si>
    <t>듀얼 엠블렘[지능 + HP MAX]</t>
  </si>
  <si>
    <t>//［0］ : 명칭</t>
  </si>
  <si>
    <t>화려한 붉은빛 엠블렘［힘］</t>
  </si>
  <si>
    <t>화려한 붉은빛 엠블렘［지능］</t>
  </si>
  <si>
    <t>화려한 붉은빛 엠블렘［체력］</t>
  </si>
  <si>
    <t>화려한 붉은빛 엠블렘［정신력］</t>
  </si>
  <si>
    <t>화려한 붉은빛 엠블렘［모든스탯］</t>
  </si>
  <si>
    <t>화려한 노란빛 엠블렘［캐스트속도］</t>
  </si>
  <si>
    <t>화려한 노란빛 엠블렘［힛리커버리］</t>
  </si>
  <si>
    <t>화려한 노란빛 엠블렘［HP회복］</t>
  </si>
  <si>
    <t>화려한 노란빛 엠블렘［공격속도］</t>
  </si>
  <si>
    <t>화려한 노란빛 엠블렘［MP회복］</t>
  </si>
  <si>
    <t>화려한 녹색빛 엠블렘［물리크리티컬］</t>
  </si>
  <si>
    <t>화려한 녹색빛 엠블렘［HP MAX］</t>
  </si>
  <si>
    <t>화려한 녹색빛 엠블렘［마법크리티컬］</t>
  </si>
  <si>
    <t>화려한 녹색빛 엠블렘［MP MAX］</t>
  </si>
  <si>
    <t>화려한 녹색빛 엠블렘［회피율］</t>
  </si>
  <si>
    <t>화려한 푸른빛 엠블렘［적중률］</t>
  </si>
  <si>
    <t>화려한 푸른빛 엠블렘［이동속도］</t>
  </si>
  <si>
    <t>화려한 푸른빛 엠블렘［물리방어］</t>
  </si>
  <si>
    <t>화려한 푸른빛 엠블렘［마법방어］</t>
  </si>
  <si>
    <t>화려한 푸른빛 엠블렘［점프력］</t>
  </si>
  <si>
    <t>화려한 듀얼 엠블렘［힘 + HP MAX］</t>
  </si>
  <si>
    <t>화려한 듀얼 엠블렘［힘 + MP MAX］</t>
  </si>
  <si>
    <t>화려한 듀얼 엠블렘［힘 + 물리크리티컬］</t>
  </si>
  <si>
    <t>화려한 듀얼 엠블렘［힘 + 회피율］</t>
  </si>
  <si>
    <t>화려한 듀얼 엠블렘［지능 + HP MAX］</t>
  </si>
  <si>
    <t>화려한 듀얼 엠블렘［지능 + MP MAX］</t>
  </si>
  <si>
    <t>화려한 듀얼 엠블렘［지능 + 마법크리티컬］</t>
  </si>
  <si>
    <t>화려한 듀얼 엠블렘［지능 + 회피율］</t>
  </si>
  <si>
    <t>화려한 듀얼 엠블렘［공격속도 + 이동속도］</t>
  </si>
  <si>
    <t>화려한 듀얼 엠블렘［캐스트속도 + 이동속도］</t>
  </si>
  <si>
    <t>화려한 듀얼 엠블렘［힛리커버리 + 이동속도］</t>
  </si>
  <si>
    <t>화려한 듀얼 엠블렘［공격속도 + 적중률］</t>
  </si>
  <si>
    <t>화려한 듀얼 엠블렘［캐스트속도 + 적중률］</t>
  </si>
  <si>
    <t>화려한 듀얼 엠블렘［힛리커버리 + 적중률］</t>
  </si>
  <si>
    <t>화려한 다색 엠블렘［모든 상태이상 저항］</t>
  </si>
  <si>
    <t>화려한 다색 엠블렘［모든 속성 저항］</t>
  </si>
  <si>
    <t>화려한 다색 엠블렘［인벤토리 한도］</t>
  </si>
  <si>
    <t>찬란한 붉은빛 엠블렘［힘］</t>
  </si>
  <si>
    <t>찬란한 붉은빛 엠블렘［지능］</t>
  </si>
  <si>
    <t>찬란한 붉은빛 엠블렘［체력］</t>
  </si>
  <si>
    <t>찬란한 붉은빛 엠블렘［정신력］</t>
  </si>
  <si>
    <t>찬란한 붉은빛 엠블렘［모든스탯］</t>
  </si>
  <si>
    <t>찬란한 노란빛 엠블렘［캐스트속도］</t>
  </si>
  <si>
    <t>찬란한 노란빛 엠블렘［힛리커버리］</t>
  </si>
  <si>
    <t>찬란한 노란빛 엠블렘［HP회복］</t>
  </si>
  <si>
    <t>찬란한 노란빛 엠블렘［공격속도］</t>
  </si>
  <si>
    <t>찬란한 노란빛 엠블렘［MP회복］</t>
  </si>
  <si>
    <t>찬란한 녹색빛 엠블렘［물리크리티컬］</t>
  </si>
  <si>
    <t>찬란한 녹색빛 엠블렘［HP MAX］</t>
  </si>
  <si>
    <t>찬란한 녹색빛 엠블렘［마법크리티컬］</t>
  </si>
  <si>
    <t>찬란한 녹색빛 엠블렘［MP MAX］</t>
  </si>
  <si>
    <t>찬란한 녹색빛 엠블렘［회피율］</t>
  </si>
  <si>
    <t>찬란한 푸른빛 엠블렘［적중률］</t>
  </si>
  <si>
    <t>찬란한 푸른빛 엠블렘［이동속도］</t>
  </si>
  <si>
    <t>찬란한 푸른빛 엠블렘［물리방어］</t>
  </si>
  <si>
    <t>찬란한 푸른빛 엠블렘［마법방어］</t>
  </si>
  <si>
    <t>찬란한 푸른빛 엠블렘［점프력］</t>
  </si>
  <si>
    <t>찬란한 듀얼 엠블렘［힘 + HP MAX］</t>
  </si>
  <si>
    <t>찬란한 듀얼 엠블렘［힘 + MP MAX］</t>
  </si>
  <si>
    <t>찬란한 듀얼 엠블렘［힘 + 물리크리티컬］</t>
  </si>
  <si>
    <t>찬란한 듀얼 엠블렘［힘 + 회피율］</t>
  </si>
  <si>
    <t>찬란한 듀얼 엠블렘［지능 + HP MAX］</t>
  </si>
  <si>
    <t>찬란한 듀얼 엠블렘［지능 + MP MAX］</t>
  </si>
  <si>
    <t>찬란한 듀얼 엠블렘［지능 + 마법크리티컬］</t>
  </si>
  <si>
    <t>찬란한 듀얼 엠블렘［지능 + 회피율］</t>
  </si>
  <si>
    <t>찬란한 듀얼 엠블렘［공격속도 + 이동속도］</t>
  </si>
  <si>
    <t>찬란한 듀얼 엠블렘［캐스트속도 + 이동속도］</t>
  </si>
  <si>
    <t>찬란한 듀얼 엠블렘［힛리커버리 + 이동속도］</t>
  </si>
  <si>
    <t>찬란한 듀얼 엠블렘［공격속도 + 적중률］</t>
  </si>
  <si>
    <t>찬란한 듀얼 엠블렘［캐스트속도 + 적중률］</t>
  </si>
  <si>
    <t>찬란한 듀얼 엠블렘［힛리커버리 + 적중률］</t>
  </si>
  <si>
    <t>찬란한 다색 엠블렘［모든 상태이상 저항］</t>
  </si>
  <si>
    <t>찬란한 다색 엠블렘［모든 속성 저항］</t>
  </si>
  <si>
    <t>찬란한 다색 엠블렘［인벤토리 한도］</t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</si>
</sst>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0.000%"/>
  </numFmts>
  <fonts count="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double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0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0" fontId="0" fillId="3" borderId="0" xfId="0" applyFill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41" fontId="0" fillId="0" borderId="0" xfId="1" applyFont="1">
      <alignment vertical="center"/>
    </xf>
    <xf numFmtId="41" fontId="0" fillId="0" borderId="3" xfId="1" applyFont="1" applyBorder="1">
      <alignment vertical="center"/>
    </xf>
    <xf numFmtId="41" fontId="0" fillId="0" borderId="4" xfId="1" applyFont="1" applyBorder="1">
      <alignment vertical="center"/>
    </xf>
    <xf numFmtId="41" fontId="0" fillId="0" borderId="1" xfId="1" applyFont="1" applyBorder="1">
      <alignment vertical="center"/>
    </xf>
    <xf numFmtId="41" fontId="0" fillId="0" borderId="2" xfId="1" applyFont="1" applyBorder="1">
      <alignment vertical="center"/>
    </xf>
    <xf numFmtId="41" fontId="0" fillId="0" borderId="3" xfId="1" applyFont="1" applyFill="1" applyBorder="1">
      <alignment vertical="center"/>
    </xf>
    <xf numFmtId="41" fontId="0" fillId="0" borderId="0" xfId="1" applyFont="1" applyFill="1" applyBorder="1">
      <alignment vertical="center"/>
    </xf>
    <xf numFmtId="41" fontId="0" fillId="2" borderId="0" xfId="1" applyFont="1" applyFill="1">
      <alignment vertical="center"/>
    </xf>
    <xf numFmtId="41" fontId="0" fillId="0" borderId="5" xfId="1" applyFont="1" applyBorder="1">
      <alignment vertical="center"/>
    </xf>
    <xf numFmtId="41" fontId="0" fillId="2" borderId="6" xfId="1" applyFont="1" applyFill="1" applyBorder="1">
      <alignment vertical="center"/>
    </xf>
    <xf numFmtId="41" fontId="0" fillId="2" borderId="7" xfId="1" applyFont="1" applyFill="1" applyBorder="1">
      <alignment vertical="center"/>
    </xf>
    <xf numFmtId="176" fontId="0" fillId="0" borderId="4" xfId="2" applyNumberFormat="1" applyFont="1" applyBorder="1">
      <alignment vertical="center"/>
    </xf>
    <xf numFmtId="176" fontId="0" fillId="0" borderId="0" xfId="2" applyNumberFormat="1" applyFont="1">
      <alignment vertical="center"/>
    </xf>
    <xf numFmtId="176" fontId="0" fillId="0" borderId="3" xfId="2" applyNumberFormat="1" applyFont="1" applyBorder="1">
      <alignment vertical="center"/>
    </xf>
    <xf numFmtId="176" fontId="0" fillId="0" borderId="5" xfId="2" applyNumberFormat="1" applyFont="1" applyBorder="1">
      <alignment vertical="center"/>
    </xf>
    <xf numFmtId="176" fontId="0" fillId="0" borderId="1" xfId="2" applyNumberFormat="1" applyFont="1" applyBorder="1">
      <alignment vertical="center"/>
    </xf>
    <xf numFmtId="176" fontId="0" fillId="0" borderId="2" xfId="2" applyNumberFormat="1" applyFont="1" applyBorder="1">
      <alignment vertical="center"/>
    </xf>
    <xf numFmtId="0" fontId="2" fillId="4" borderId="8" xfId="0" applyFont="1" applyFill="1" applyBorder="1">
      <alignment vertical="center"/>
    </xf>
    <xf numFmtId="0" fontId="2" fillId="4" borderId="8" xfId="0" applyFont="1" applyFill="1" applyBorder="1" applyAlignment="1">
      <alignment horizontal="right" vertical="center"/>
    </xf>
    <xf numFmtId="0" fontId="2" fillId="4" borderId="10" xfId="0" applyFont="1" applyFill="1" applyBorder="1" applyAlignment="1">
      <alignment horizontal="right" vertical="center"/>
    </xf>
    <xf numFmtId="0" fontId="2" fillId="4" borderId="10" xfId="0" applyFont="1" applyFill="1" applyBorder="1">
      <alignment vertical="center"/>
    </xf>
    <xf numFmtId="0" fontId="2" fillId="4" borderId="9" xfId="0" applyFont="1" applyFill="1" applyBorder="1" applyAlignment="1">
      <alignment horizontal="right" vertical="center"/>
    </xf>
    <xf numFmtId="0" fontId="2" fillId="4" borderId="9" xfId="0" applyFont="1" applyFill="1" applyBorder="1">
      <alignment vertical="center"/>
    </xf>
    <xf numFmtId="0" fontId="2" fillId="4" borderId="11" xfId="0" applyFont="1" applyFill="1" applyBorder="1" applyAlignment="1">
      <alignment horizontal="right" vertical="center"/>
    </xf>
    <xf numFmtId="0" fontId="2" fillId="4" borderId="11" xfId="0" applyFont="1" applyFill="1" applyBorder="1">
      <alignment vertical="center"/>
    </xf>
    <xf numFmtId="0" fontId="2" fillId="4" borderId="12" xfId="0" applyFont="1" applyFill="1" applyBorder="1" applyAlignment="1">
      <alignment horizontal="right" vertical="center"/>
    </xf>
    <xf numFmtId="0" fontId="2" fillId="4" borderId="12" xfId="0" applyFont="1" applyFill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76"/>
  <sheetViews>
    <sheetView tabSelected="1" workbookViewId="0">
      <selection activeCell="B7" sqref="B7"/>
    </sheetView>
  </sheetViews>
  <sheetFormatPr defaultRowHeight="16.5"/>
  <cols>
    <col min="1" max="1" width="14" style="25" customWidth="1"/>
    <col min="2" max="2" width="41.625" style="25" bestFit="1" customWidth="1"/>
    <col min="3" max="3" width="2.625" style="25" bestFit="1" customWidth="1"/>
    <col min="4" max="4" width="9" style="25"/>
    <col min="5" max="5" width="3.375" style="25" bestFit="1" customWidth="1"/>
    <col min="6" max="6" width="13.125" style="25" customWidth="1"/>
    <col min="7" max="7" width="3.375" style="25" bestFit="1" customWidth="1"/>
    <col min="8" max="8" width="9" style="25"/>
    <col min="9" max="9" width="1.875" style="25" bestFit="1" customWidth="1"/>
    <col min="10" max="16384" width="9" style="25"/>
  </cols>
  <sheetData>
    <row r="1" spans="1:11">
      <c r="A1" s="25" t="s">
        <v>12</v>
      </c>
      <c r="B1" s="25" t="s">
        <v>64</v>
      </c>
      <c r="D1" s="25" t="s">
        <v>15</v>
      </c>
      <c r="F1" s="25" t="s">
        <v>60</v>
      </c>
      <c r="H1" s="25" t="s">
        <v>58</v>
      </c>
      <c r="J1" s="25" t="s">
        <v>59</v>
      </c>
    </row>
    <row r="2" spans="1:11">
      <c r="A2" s="26" t="s">
        <v>13</v>
      </c>
      <c r="B2" s="25" t="s">
        <v>65</v>
      </c>
      <c r="C2" s="25" t="s">
        <v>52</v>
      </c>
      <c r="D2" s="25" t="s">
        <v>61</v>
      </c>
      <c r="E2" s="25" t="s">
        <v>53</v>
      </c>
      <c r="G2" s="25" t="s">
        <v>14</v>
      </c>
      <c r="H2" s="25">
        <v>1.5314780247751569E-2</v>
      </c>
      <c r="I2" s="25" t="s">
        <v>54</v>
      </c>
      <c r="J2" s="25">
        <v>0</v>
      </c>
      <c r="K2" s="25" t="s">
        <v>55</v>
      </c>
    </row>
    <row r="3" spans="1:11">
      <c r="A3" s="26" t="s">
        <v>13</v>
      </c>
      <c r="B3" s="25" t="s">
        <v>66</v>
      </c>
      <c r="C3" s="25" t="s">
        <v>52</v>
      </c>
      <c r="D3" s="25" t="s">
        <v>61</v>
      </c>
      <c r="E3" s="25" t="s">
        <v>53</v>
      </c>
      <c r="G3" s="25" t="s">
        <v>14</v>
      </c>
      <c r="H3" s="25">
        <v>1.628202952655693E-2</v>
      </c>
      <c r="I3" s="25" t="s">
        <v>54</v>
      </c>
      <c r="J3" s="25">
        <v>0</v>
      </c>
      <c r="K3" s="25" t="s">
        <v>55</v>
      </c>
    </row>
    <row r="4" spans="1:11">
      <c r="A4" s="26" t="s">
        <v>13</v>
      </c>
      <c r="B4" s="25" t="s">
        <v>67</v>
      </c>
      <c r="C4" s="25" t="s">
        <v>52</v>
      </c>
      <c r="D4" s="25" t="s">
        <v>61</v>
      </c>
      <c r="E4" s="25" t="s">
        <v>53</v>
      </c>
      <c r="G4" s="25" t="s">
        <v>14</v>
      </c>
      <c r="H4" s="25">
        <v>1.7410487018496519E-2</v>
      </c>
      <c r="I4" s="25" t="s">
        <v>54</v>
      </c>
      <c r="J4" s="25">
        <v>0</v>
      </c>
      <c r="K4" s="25" t="s">
        <v>55</v>
      </c>
    </row>
    <row r="5" spans="1:11">
      <c r="A5" s="26" t="s">
        <v>13</v>
      </c>
      <c r="B5" s="25" t="s">
        <v>68</v>
      </c>
      <c r="C5" s="25" t="s">
        <v>52</v>
      </c>
      <c r="D5" s="25" t="s">
        <v>61</v>
      </c>
      <c r="E5" s="25" t="s">
        <v>53</v>
      </c>
      <c r="G5" s="25" t="s">
        <v>14</v>
      </c>
      <c r="H5" s="25">
        <v>1.8216528084167655E-2</v>
      </c>
      <c r="I5" s="25" t="s">
        <v>54</v>
      </c>
      <c r="J5" s="25">
        <v>0</v>
      </c>
      <c r="K5" s="25" t="s">
        <v>55</v>
      </c>
    </row>
    <row r="6" spans="1:11">
      <c r="A6" s="29" t="s">
        <v>13</v>
      </c>
      <c r="B6" s="30" t="s">
        <v>69</v>
      </c>
      <c r="C6" s="30" t="s">
        <v>52</v>
      </c>
      <c r="D6" s="30" t="s">
        <v>61</v>
      </c>
      <c r="E6" s="30" t="s">
        <v>53</v>
      </c>
      <c r="F6" s="30"/>
      <c r="G6" s="30" t="s">
        <v>14</v>
      </c>
      <c r="H6" s="30">
        <v>1.7249278805362294E-2</v>
      </c>
      <c r="I6" s="30" t="s">
        <v>54</v>
      </c>
      <c r="J6" s="30">
        <v>0</v>
      </c>
      <c r="K6" s="30" t="s">
        <v>55</v>
      </c>
    </row>
    <row r="7" spans="1:11">
      <c r="A7" s="27" t="s">
        <v>13</v>
      </c>
      <c r="B7" s="28" t="s">
        <v>70</v>
      </c>
      <c r="C7" s="28" t="s">
        <v>52</v>
      </c>
      <c r="D7" s="28" t="s">
        <v>61</v>
      </c>
      <c r="E7" s="28" t="s">
        <v>53</v>
      </c>
      <c r="F7" s="28"/>
      <c r="G7" s="28" t="s">
        <v>14</v>
      </c>
      <c r="H7" s="28">
        <v>1.805531987103343E-2</v>
      </c>
      <c r="I7" s="28" t="s">
        <v>54</v>
      </c>
      <c r="J7" s="28">
        <v>0</v>
      </c>
      <c r="K7" s="28" t="s">
        <v>55</v>
      </c>
    </row>
    <row r="8" spans="1:11">
      <c r="A8" s="26" t="s">
        <v>13</v>
      </c>
      <c r="B8" s="25" t="s">
        <v>71</v>
      </c>
      <c r="C8" s="25" t="s">
        <v>52</v>
      </c>
      <c r="D8" s="25" t="s">
        <v>61</v>
      </c>
      <c r="E8" s="25" t="s">
        <v>53</v>
      </c>
      <c r="G8" s="25" t="s">
        <v>14</v>
      </c>
      <c r="H8" s="25">
        <v>3.2886475479382317E-2</v>
      </c>
      <c r="I8" s="25" t="s">
        <v>54</v>
      </c>
      <c r="J8" s="25">
        <v>0</v>
      </c>
      <c r="K8" s="25" t="s">
        <v>55</v>
      </c>
    </row>
    <row r="9" spans="1:11">
      <c r="A9" s="26" t="s">
        <v>13</v>
      </c>
      <c r="B9" s="25" t="s">
        <v>72</v>
      </c>
      <c r="C9" s="25" t="s">
        <v>52</v>
      </c>
      <c r="D9" s="25" t="s">
        <v>61</v>
      </c>
      <c r="E9" s="25" t="s">
        <v>53</v>
      </c>
      <c r="G9" s="25" t="s">
        <v>14</v>
      </c>
      <c r="H9" s="25">
        <v>2.4342440183268282E-2</v>
      </c>
      <c r="I9" s="25" t="s">
        <v>54</v>
      </c>
      <c r="J9" s="25">
        <v>0</v>
      </c>
      <c r="K9" s="25" t="s">
        <v>55</v>
      </c>
    </row>
    <row r="10" spans="1:11">
      <c r="A10" s="26" t="s">
        <v>13</v>
      </c>
      <c r="B10" s="25" t="s">
        <v>73</v>
      </c>
      <c r="C10" s="25" t="s">
        <v>52</v>
      </c>
      <c r="D10" s="25" t="s">
        <v>61</v>
      </c>
      <c r="E10" s="25" t="s">
        <v>53</v>
      </c>
      <c r="G10" s="25" t="s">
        <v>14</v>
      </c>
      <c r="H10" s="25">
        <v>1.6443237739691158E-2</v>
      </c>
      <c r="I10" s="25" t="s">
        <v>54</v>
      </c>
      <c r="J10" s="25">
        <v>0</v>
      </c>
      <c r="K10" s="25" t="s">
        <v>55</v>
      </c>
    </row>
    <row r="11" spans="1:11">
      <c r="A11" s="29" t="s">
        <v>13</v>
      </c>
      <c r="B11" s="30" t="s">
        <v>74</v>
      </c>
      <c r="C11" s="30" t="s">
        <v>52</v>
      </c>
      <c r="D11" s="30" t="s">
        <v>61</v>
      </c>
      <c r="E11" s="30" t="s">
        <v>53</v>
      </c>
      <c r="F11" s="30"/>
      <c r="G11" s="30" t="s">
        <v>14</v>
      </c>
      <c r="H11" s="30">
        <v>3.7400305447140673E-2</v>
      </c>
      <c r="I11" s="30" t="s">
        <v>54</v>
      </c>
      <c r="J11" s="30">
        <v>0</v>
      </c>
      <c r="K11" s="30" t="s">
        <v>55</v>
      </c>
    </row>
    <row r="12" spans="1:11">
      <c r="A12" s="27" t="s">
        <v>13</v>
      </c>
      <c r="B12" s="28" t="s">
        <v>75</v>
      </c>
      <c r="C12" s="28" t="s">
        <v>52</v>
      </c>
      <c r="D12" s="28" t="s">
        <v>61</v>
      </c>
      <c r="E12" s="28" t="s">
        <v>53</v>
      </c>
      <c r="F12" s="28"/>
      <c r="G12" s="28" t="s">
        <v>14</v>
      </c>
      <c r="H12" s="28">
        <v>1.5475988460885796E-2</v>
      </c>
      <c r="I12" s="28" t="s">
        <v>54</v>
      </c>
      <c r="J12" s="28">
        <v>0</v>
      </c>
      <c r="K12" s="28" t="s">
        <v>55</v>
      </c>
    </row>
    <row r="13" spans="1:11">
      <c r="A13" s="26" t="s">
        <v>13</v>
      </c>
      <c r="B13" s="25" t="s">
        <v>76</v>
      </c>
      <c r="C13" s="25" t="s">
        <v>52</v>
      </c>
      <c r="D13" s="25" t="s">
        <v>61</v>
      </c>
      <c r="E13" s="25" t="s">
        <v>53</v>
      </c>
      <c r="G13" s="25" t="s">
        <v>14</v>
      </c>
      <c r="H13" s="25">
        <v>1.7410487018496519E-2</v>
      </c>
      <c r="I13" s="25" t="s">
        <v>54</v>
      </c>
      <c r="J13" s="25">
        <v>0</v>
      </c>
      <c r="K13" s="25" t="s">
        <v>55</v>
      </c>
    </row>
    <row r="14" spans="1:11">
      <c r="A14" s="26" t="s">
        <v>13</v>
      </c>
      <c r="B14" s="25" t="s">
        <v>77</v>
      </c>
      <c r="C14" s="25" t="s">
        <v>52</v>
      </c>
      <c r="D14" s="25" t="s">
        <v>61</v>
      </c>
      <c r="E14" s="25" t="s">
        <v>53</v>
      </c>
      <c r="G14" s="25" t="s">
        <v>14</v>
      </c>
      <c r="H14" s="25">
        <v>1.4992363821483116E-2</v>
      </c>
      <c r="I14" s="25" t="s">
        <v>54</v>
      </c>
      <c r="J14" s="25">
        <v>0</v>
      </c>
      <c r="K14" s="25" t="s">
        <v>55</v>
      </c>
    </row>
    <row r="15" spans="1:11">
      <c r="A15" s="26" t="s">
        <v>13</v>
      </c>
      <c r="B15" s="25" t="s">
        <v>78</v>
      </c>
      <c r="C15" s="25" t="s">
        <v>52</v>
      </c>
      <c r="D15" s="25" t="s">
        <v>61</v>
      </c>
      <c r="E15" s="25" t="s">
        <v>53</v>
      </c>
      <c r="G15" s="25" t="s">
        <v>14</v>
      </c>
      <c r="H15" s="25">
        <v>1.6765654165959612E-2</v>
      </c>
      <c r="I15" s="25" t="s">
        <v>54</v>
      </c>
      <c r="J15" s="25">
        <v>0</v>
      </c>
      <c r="K15" s="25" t="s">
        <v>55</v>
      </c>
    </row>
    <row r="16" spans="1:11">
      <c r="A16" s="29" t="s">
        <v>13</v>
      </c>
      <c r="B16" s="30" t="s">
        <v>79</v>
      </c>
      <c r="C16" s="30" t="s">
        <v>52</v>
      </c>
      <c r="D16" s="30" t="s">
        <v>61</v>
      </c>
      <c r="E16" s="30" t="s">
        <v>53</v>
      </c>
      <c r="F16" s="30"/>
      <c r="G16" s="30" t="s">
        <v>14</v>
      </c>
      <c r="H16" s="30">
        <v>1.902256914983879E-2</v>
      </c>
      <c r="I16" s="30" t="s">
        <v>54</v>
      </c>
      <c r="J16" s="30">
        <v>0</v>
      </c>
      <c r="K16" s="30" t="s">
        <v>55</v>
      </c>
    </row>
    <row r="17" spans="1:11">
      <c r="A17" s="27" t="s">
        <v>13</v>
      </c>
      <c r="B17" s="28" t="s">
        <v>80</v>
      </c>
      <c r="C17" s="28" t="s">
        <v>52</v>
      </c>
      <c r="D17" s="28" t="s">
        <v>61</v>
      </c>
      <c r="E17" s="28" t="s">
        <v>53</v>
      </c>
      <c r="F17" s="28"/>
      <c r="G17" s="28" t="s">
        <v>14</v>
      </c>
      <c r="H17" s="28">
        <v>1.9989818428644154E-2</v>
      </c>
      <c r="I17" s="28" t="s">
        <v>54</v>
      </c>
      <c r="J17" s="28">
        <v>0</v>
      </c>
      <c r="K17" s="28" t="s">
        <v>55</v>
      </c>
    </row>
    <row r="18" spans="1:11">
      <c r="A18" s="26" t="s">
        <v>13</v>
      </c>
      <c r="B18" s="25" t="s">
        <v>81</v>
      </c>
      <c r="C18" s="25" t="s">
        <v>52</v>
      </c>
      <c r="D18" s="25" t="s">
        <v>61</v>
      </c>
      <c r="E18" s="25" t="s">
        <v>53</v>
      </c>
      <c r="G18" s="25" t="s">
        <v>14</v>
      </c>
      <c r="H18" s="25">
        <v>1.7894111657899201E-2</v>
      </c>
      <c r="I18" s="25" t="s">
        <v>54</v>
      </c>
      <c r="J18" s="25">
        <v>0</v>
      </c>
      <c r="K18" s="25" t="s">
        <v>55</v>
      </c>
    </row>
    <row r="19" spans="1:11">
      <c r="A19" s="26" t="s">
        <v>13</v>
      </c>
      <c r="B19" s="25" t="s">
        <v>82</v>
      </c>
      <c r="C19" s="25" t="s">
        <v>52</v>
      </c>
      <c r="D19" s="25" t="s">
        <v>61</v>
      </c>
      <c r="E19" s="25" t="s">
        <v>53</v>
      </c>
      <c r="G19" s="25" t="s">
        <v>14</v>
      </c>
      <c r="H19" s="25">
        <v>5.7551332088919056E-2</v>
      </c>
      <c r="I19" s="25" t="s">
        <v>54</v>
      </c>
      <c r="J19" s="25">
        <v>0</v>
      </c>
      <c r="K19" s="25" t="s">
        <v>55</v>
      </c>
    </row>
    <row r="20" spans="1:11">
      <c r="A20" s="26" t="s">
        <v>13</v>
      </c>
      <c r="B20" s="25" t="s">
        <v>83</v>
      </c>
      <c r="C20" s="25" t="s">
        <v>52</v>
      </c>
      <c r="D20" s="25" t="s">
        <v>61</v>
      </c>
      <c r="E20" s="25" t="s">
        <v>53</v>
      </c>
      <c r="G20" s="25" t="s">
        <v>14</v>
      </c>
      <c r="H20" s="25">
        <v>7.1092821992194119E-2</v>
      </c>
      <c r="I20" s="25" t="s">
        <v>54</v>
      </c>
      <c r="J20" s="25">
        <v>0</v>
      </c>
      <c r="K20" s="25" t="s">
        <v>55</v>
      </c>
    </row>
    <row r="21" spans="1:11">
      <c r="A21" s="29" t="s">
        <v>13</v>
      </c>
      <c r="B21" s="30" t="s">
        <v>84</v>
      </c>
      <c r="C21" s="30" t="s">
        <v>52</v>
      </c>
      <c r="D21" s="30" t="s">
        <v>61</v>
      </c>
      <c r="E21" s="30" t="s">
        <v>53</v>
      </c>
      <c r="F21" s="30"/>
      <c r="G21" s="30" t="s">
        <v>14</v>
      </c>
      <c r="H21" s="30">
        <v>8.7858476158153731E-2</v>
      </c>
      <c r="I21" s="30" t="s">
        <v>54</v>
      </c>
      <c r="J21" s="30">
        <v>0</v>
      </c>
      <c r="K21" s="30" t="s">
        <v>55</v>
      </c>
    </row>
    <row r="22" spans="1:11">
      <c r="A22" s="27" t="s">
        <v>13</v>
      </c>
      <c r="B22" s="28" t="s">
        <v>85</v>
      </c>
      <c r="C22" s="28" t="s">
        <v>52</v>
      </c>
      <c r="D22" s="28" t="s">
        <v>61</v>
      </c>
      <c r="E22" s="28" t="s">
        <v>53</v>
      </c>
      <c r="F22" s="28"/>
      <c r="G22" s="28" t="s">
        <v>14</v>
      </c>
      <c r="H22" s="28">
        <v>2.0957067707449515E-2</v>
      </c>
      <c r="I22" s="28" t="s">
        <v>54</v>
      </c>
      <c r="J22" s="28">
        <v>0</v>
      </c>
      <c r="K22" s="28" t="s">
        <v>55</v>
      </c>
    </row>
    <row r="23" spans="1:11">
      <c r="A23" s="26" t="s">
        <v>13</v>
      </c>
      <c r="B23" s="25" t="s">
        <v>86</v>
      </c>
      <c r="C23" s="25" t="s">
        <v>52</v>
      </c>
      <c r="D23" s="25" t="s">
        <v>61</v>
      </c>
      <c r="E23" s="25" t="s">
        <v>53</v>
      </c>
      <c r="G23" s="25" t="s">
        <v>14</v>
      </c>
      <c r="H23" s="25">
        <v>1.9828610215509926E-2</v>
      </c>
      <c r="I23" s="25" t="s">
        <v>54</v>
      </c>
      <c r="J23" s="25">
        <v>0</v>
      </c>
      <c r="K23" s="25" t="s">
        <v>55</v>
      </c>
    </row>
    <row r="24" spans="1:11">
      <c r="A24" s="26" t="s">
        <v>13</v>
      </c>
      <c r="B24" s="25" t="s">
        <v>87</v>
      </c>
      <c r="C24" s="25" t="s">
        <v>52</v>
      </c>
      <c r="D24" s="25" t="s">
        <v>61</v>
      </c>
      <c r="E24" s="25" t="s">
        <v>53</v>
      </c>
      <c r="G24" s="25" t="s">
        <v>14</v>
      </c>
      <c r="H24" s="25">
        <v>1.5475988460885796E-2</v>
      </c>
      <c r="I24" s="25" t="s">
        <v>54</v>
      </c>
      <c r="J24" s="25">
        <v>0</v>
      </c>
      <c r="K24" s="25" t="s">
        <v>55</v>
      </c>
    </row>
    <row r="25" spans="1:11">
      <c r="A25" s="29" t="s">
        <v>13</v>
      </c>
      <c r="B25" s="30" t="s">
        <v>88</v>
      </c>
      <c r="C25" s="30" t="s">
        <v>52</v>
      </c>
      <c r="D25" s="30" t="s">
        <v>61</v>
      </c>
      <c r="E25" s="30" t="s">
        <v>53</v>
      </c>
      <c r="F25" s="30"/>
      <c r="G25" s="30" t="s">
        <v>14</v>
      </c>
      <c r="H25" s="30">
        <v>1.805531987103343E-2</v>
      </c>
      <c r="I25" s="30" t="s">
        <v>54</v>
      </c>
      <c r="J25" s="30">
        <v>0</v>
      </c>
      <c r="K25" s="30" t="s">
        <v>55</v>
      </c>
    </row>
    <row r="26" spans="1:11">
      <c r="A26" s="27" t="s">
        <v>13</v>
      </c>
      <c r="B26" s="28" t="s">
        <v>89</v>
      </c>
      <c r="C26" s="28" t="s">
        <v>52</v>
      </c>
      <c r="D26" s="28" t="s">
        <v>61</v>
      </c>
      <c r="E26" s="28" t="s">
        <v>53</v>
      </c>
      <c r="F26" s="28"/>
      <c r="G26" s="28" t="s">
        <v>14</v>
      </c>
      <c r="H26" s="28">
        <v>2.0634651281181061E-2</v>
      </c>
      <c r="I26" s="28" t="s">
        <v>54</v>
      </c>
      <c r="J26" s="28">
        <v>0</v>
      </c>
      <c r="K26" s="28" t="s">
        <v>55</v>
      </c>
    </row>
    <row r="27" spans="1:11">
      <c r="A27" s="26" t="s">
        <v>13</v>
      </c>
      <c r="B27" s="25" t="s">
        <v>90</v>
      </c>
      <c r="C27" s="25" t="s">
        <v>52</v>
      </c>
      <c r="D27" s="25" t="s">
        <v>61</v>
      </c>
      <c r="E27" s="25" t="s">
        <v>53</v>
      </c>
      <c r="G27" s="25" t="s">
        <v>14</v>
      </c>
      <c r="H27" s="25">
        <v>1.7571695231630748E-2</v>
      </c>
      <c r="I27" s="25" t="s">
        <v>54</v>
      </c>
      <c r="J27" s="25">
        <v>0</v>
      </c>
      <c r="K27" s="25" t="s">
        <v>55</v>
      </c>
    </row>
    <row r="28" spans="1:11">
      <c r="A28" s="26" t="s">
        <v>13</v>
      </c>
      <c r="B28" s="25" t="s">
        <v>91</v>
      </c>
      <c r="C28" s="25" t="s">
        <v>52</v>
      </c>
      <c r="D28" s="25" t="s">
        <v>61</v>
      </c>
      <c r="E28" s="25" t="s">
        <v>53</v>
      </c>
      <c r="G28" s="25" t="s">
        <v>14</v>
      </c>
      <c r="H28" s="25">
        <v>1.8377736297301883E-2</v>
      </c>
      <c r="I28" s="25" t="s">
        <v>54</v>
      </c>
      <c r="J28" s="25">
        <v>0</v>
      </c>
      <c r="K28" s="25" t="s">
        <v>55</v>
      </c>
    </row>
    <row r="29" spans="1:11">
      <c r="A29" s="29" t="s">
        <v>13</v>
      </c>
      <c r="B29" s="30" t="s">
        <v>92</v>
      </c>
      <c r="C29" s="30" t="s">
        <v>52</v>
      </c>
      <c r="D29" s="30" t="s">
        <v>61</v>
      </c>
      <c r="E29" s="30" t="s">
        <v>53</v>
      </c>
      <c r="F29" s="30"/>
      <c r="G29" s="30" t="s">
        <v>14</v>
      </c>
      <c r="H29" s="30">
        <v>1.9344985576107244E-2</v>
      </c>
      <c r="I29" s="30" t="s">
        <v>54</v>
      </c>
      <c r="J29" s="30">
        <v>0</v>
      </c>
      <c r="K29" s="30" t="s">
        <v>55</v>
      </c>
    </row>
    <row r="30" spans="1:11">
      <c r="A30" s="27" t="s">
        <v>13</v>
      </c>
      <c r="B30" s="28" t="s">
        <v>93</v>
      </c>
      <c r="C30" s="28" t="s">
        <v>52</v>
      </c>
      <c r="D30" s="28" t="s">
        <v>61</v>
      </c>
      <c r="E30" s="28" t="s">
        <v>53</v>
      </c>
      <c r="F30" s="28"/>
      <c r="G30" s="28" t="s">
        <v>14</v>
      </c>
      <c r="H30" s="28">
        <v>3.6110639742066859E-2</v>
      </c>
      <c r="I30" s="28" t="s">
        <v>54</v>
      </c>
      <c r="J30" s="28">
        <v>0</v>
      </c>
      <c r="K30" s="28" t="s">
        <v>55</v>
      </c>
    </row>
    <row r="31" spans="1:11">
      <c r="A31" s="26" t="s">
        <v>13</v>
      </c>
      <c r="B31" s="25" t="s">
        <v>94</v>
      </c>
      <c r="C31" s="25" t="s">
        <v>52</v>
      </c>
      <c r="D31" s="25" t="s">
        <v>61</v>
      </c>
      <c r="E31" s="25" t="s">
        <v>53</v>
      </c>
      <c r="G31" s="25" t="s">
        <v>14</v>
      </c>
      <c r="H31" s="25">
        <v>1.8216528084167655E-2</v>
      </c>
      <c r="I31" s="25" t="s">
        <v>54</v>
      </c>
      <c r="J31" s="25">
        <v>0</v>
      </c>
      <c r="K31" s="25" t="s">
        <v>55</v>
      </c>
    </row>
    <row r="32" spans="1:11">
      <c r="A32" s="29" t="s">
        <v>13</v>
      </c>
      <c r="B32" s="30" t="s">
        <v>95</v>
      </c>
      <c r="C32" s="30" t="s">
        <v>52</v>
      </c>
      <c r="D32" s="30" t="s">
        <v>61</v>
      </c>
      <c r="E32" s="30" t="s">
        <v>53</v>
      </c>
      <c r="F32" s="30"/>
      <c r="G32" s="30" t="s">
        <v>14</v>
      </c>
      <c r="H32" s="30">
        <v>3.6916680807737995E-2</v>
      </c>
      <c r="I32" s="30" t="s">
        <v>54</v>
      </c>
      <c r="J32" s="30">
        <v>0</v>
      </c>
      <c r="K32" s="30" t="s">
        <v>55</v>
      </c>
    </row>
    <row r="33" spans="1:11">
      <c r="A33" s="27" t="s">
        <v>13</v>
      </c>
      <c r="B33" s="28" t="s">
        <v>96</v>
      </c>
      <c r="C33" s="28" t="s">
        <v>52</v>
      </c>
      <c r="D33" s="28" t="s">
        <v>61</v>
      </c>
      <c r="E33" s="28" t="s">
        <v>53</v>
      </c>
      <c r="F33" s="28"/>
      <c r="G33" s="28" t="s">
        <v>14</v>
      </c>
      <c r="H33" s="28">
        <v>1.6765654165959612E-2</v>
      </c>
      <c r="I33" s="28" t="s">
        <v>54</v>
      </c>
      <c r="J33" s="28">
        <v>0</v>
      </c>
      <c r="K33" s="28" t="s">
        <v>55</v>
      </c>
    </row>
    <row r="34" spans="1:11">
      <c r="A34" s="26" t="s">
        <v>13</v>
      </c>
      <c r="B34" s="25" t="s">
        <v>97</v>
      </c>
      <c r="C34" s="25" t="s">
        <v>52</v>
      </c>
      <c r="D34" s="25" t="s">
        <v>61</v>
      </c>
      <c r="E34" s="25" t="s">
        <v>53</v>
      </c>
      <c r="G34" s="25" t="s">
        <v>14</v>
      </c>
      <c r="H34" s="25">
        <v>2.0957067707449515E-2</v>
      </c>
      <c r="I34" s="25" t="s">
        <v>54</v>
      </c>
      <c r="J34" s="25">
        <v>0</v>
      </c>
      <c r="K34" s="25" t="s">
        <v>55</v>
      </c>
    </row>
    <row r="35" spans="1:11">
      <c r="A35" s="29" t="s">
        <v>13</v>
      </c>
      <c r="B35" s="30" t="s">
        <v>98</v>
      </c>
      <c r="C35" s="30" t="s">
        <v>52</v>
      </c>
      <c r="D35" s="30" t="s">
        <v>61</v>
      </c>
      <c r="E35" s="30" t="s">
        <v>53</v>
      </c>
      <c r="F35" s="30"/>
      <c r="G35" s="30" t="s">
        <v>14</v>
      </c>
      <c r="H35" s="30">
        <v>4.8201255727133886E-2</v>
      </c>
      <c r="I35" s="30" t="s">
        <v>54</v>
      </c>
      <c r="J35" s="30">
        <v>0</v>
      </c>
      <c r="K35" s="30" t="s">
        <v>55</v>
      </c>
    </row>
    <row r="36" spans="1:11">
      <c r="A36" s="27" t="s">
        <v>13</v>
      </c>
      <c r="B36" s="28" t="s">
        <v>99</v>
      </c>
      <c r="C36" s="28" t="s">
        <v>52</v>
      </c>
      <c r="D36" s="28" t="s">
        <v>61</v>
      </c>
      <c r="E36" s="28" t="s">
        <v>53</v>
      </c>
      <c r="F36" s="28"/>
      <c r="G36" s="28" t="s">
        <v>14</v>
      </c>
      <c r="H36" s="28">
        <v>1.9183777362973019E-2</v>
      </c>
      <c r="I36" s="28" t="s">
        <v>54</v>
      </c>
      <c r="J36" s="28">
        <v>0</v>
      </c>
      <c r="K36" s="28" t="s">
        <v>55</v>
      </c>
    </row>
    <row r="37" spans="1:11">
      <c r="A37" s="26" t="s">
        <v>13</v>
      </c>
      <c r="B37" s="25" t="s">
        <v>100</v>
      </c>
      <c r="C37" s="25" t="s">
        <v>52</v>
      </c>
      <c r="D37" s="25" t="s">
        <v>61</v>
      </c>
      <c r="E37" s="25" t="s">
        <v>53</v>
      </c>
      <c r="G37" s="25" t="s">
        <v>14</v>
      </c>
      <c r="H37" s="25">
        <v>2.3858815543865604E-2</v>
      </c>
      <c r="I37" s="25" t="s">
        <v>54</v>
      </c>
      <c r="J37" s="25">
        <v>0</v>
      </c>
      <c r="K37" s="25" t="s">
        <v>55</v>
      </c>
    </row>
    <row r="38" spans="1:11" ht="17.25" thickBot="1">
      <c r="A38" s="31" t="s">
        <v>13</v>
      </c>
      <c r="B38" s="32" t="s">
        <v>101</v>
      </c>
      <c r="C38" s="32" t="s">
        <v>52</v>
      </c>
      <c r="D38" s="32" t="s">
        <v>61</v>
      </c>
      <c r="E38" s="32" t="s">
        <v>53</v>
      </c>
      <c r="F38" s="32"/>
      <c r="G38" s="32" t="s">
        <v>14</v>
      </c>
      <c r="H38" s="32">
        <v>2.7889020872221278E-2</v>
      </c>
      <c r="I38" s="32" t="s">
        <v>54</v>
      </c>
      <c r="J38" s="32">
        <v>0</v>
      </c>
      <c r="K38" s="32" t="s">
        <v>55</v>
      </c>
    </row>
    <row r="39" spans="1:11" ht="17.25" thickTop="1">
      <c r="A39" s="27" t="s">
        <v>13</v>
      </c>
      <c r="B39" s="28" t="s">
        <v>102</v>
      </c>
      <c r="C39" s="28" t="s">
        <v>52</v>
      </c>
      <c r="D39" s="28" t="s">
        <v>62</v>
      </c>
      <c r="E39" s="28" t="s">
        <v>53</v>
      </c>
      <c r="F39" s="28"/>
      <c r="G39" s="28" t="s">
        <v>14</v>
      </c>
      <c r="H39" s="28">
        <v>8.0604106567113527E-4</v>
      </c>
      <c r="I39" s="28" t="s">
        <v>54</v>
      </c>
      <c r="J39" s="28">
        <v>0</v>
      </c>
      <c r="K39" s="28" t="s">
        <v>55</v>
      </c>
    </row>
    <row r="40" spans="1:11">
      <c r="A40" s="26" t="s">
        <v>13</v>
      </c>
      <c r="B40" s="25" t="s">
        <v>103</v>
      </c>
      <c r="C40" s="25" t="s">
        <v>52</v>
      </c>
      <c r="D40" s="25" t="s">
        <v>62</v>
      </c>
      <c r="E40" s="25" t="s">
        <v>53</v>
      </c>
      <c r="G40" s="25" t="s">
        <v>14</v>
      </c>
      <c r="H40" s="25">
        <v>8.5694892245036485E-4</v>
      </c>
      <c r="I40" s="25" t="s">
        <v>54</v>
      </c>
      <c r="J40" s="25">
        <v>0</v>
      </c>
      <c r="K40" s="25" t="s">
        <v>55</v>
      </c>
    </row>
    <row r="41" spans="1:11">
      <c r="A41" s="26" t="s">
        <v>13</v>
      </c>
      <c r="B41" s="25" t="s">
        <v>104</v>
      </c>
      <c r="C41" s="25" t="s">
        <v>52</v>
      </c>
      <c r="D41" s="25" t="s">
        <v>62</v>
      </c>
      <c r="E41" s="25" t="s">
        <v>53</v>
      </c>
      <c r="G41" s="25" t="s">
        <v>14</v>
      </c>
      <c r="H41" s="25">
        <v>9.1634142202613267E-4</v>
      </c>
      <c r="I41" s="25" t="s">
        <v>54</v>
      </c>
      <c r="J41" s="25">
        <v>0</v>
      </c>
      <c r="K41" s="25" t="s">
        <v>55</v>
      </c>
    </row>
    <row r="42" spans="1:11">
      <c r="A42" s="26" t="s">
        <v>13</v>
      </c>
      <c r="B42" s="25" t="s">
        <v>105</v>
      </c>
      <c r="C42" s="25" t="s">
        <v>52</v>
      </c>
      <c r="D42" s="25" t="s">
        <v>62</v>
      </c>
      <c r="E42" s="25" t="s">
        <v>53</v>
      </c>
      <c r="G42" s="25" t="s">
        <v>14</v>
      </c>
      <c r="H42" s="25">
        <v>9.5876463600882414E-4</v>
      </c>
      <c r="I42" s="25" t="s">
        <v>54</v>
      </c>
      <c r="J42" s="25">
        <v>0</v>
      </c>
      <c r="K42" s="25" t="s">
        <v>55</v>
      </c>
    </row>
    <row r="43" spans="1:11">
      <c r="A43" s="29" t="s">
        <v>13</v>
      </c>
      <c r="B43" s="30" t="s">
        <v>106</v>
      </c>
      <c r="C43" s="30" t="s">
        <v>52</v>
      </c>
      <c r="D43" s="30" t="s">
        <v>62</v>
      </c>
      <c r="E43" s="30" t="s">
        <v>53</v>
      </c>
      <c r="F43" s="30"/>
      <c r="G43" s="30" t="s">
        <v>14</v>
      </c>
      <c r="H43" s="30">
        <v>9.0785677922959455E-4</v>
      </c>
      <c r="I43" s="30" t="s">
        <v>54</v>
      </c>
      <c r="J43" s="30">
        <v>0</v>
      </c>
      <c r="K43" s="30" t="s">
        <v>55</v>
      </c>
    </row>
    <row r="44" spans="1:11">
      <c r="A44" s="27" t="s">
        <v>13</v>
      </c>
      <c r="B44" s="28" t="s">
        <v>107</v>
      </c>
      <c r="C44" s="28" t="s">
        <v>52</v>
      </c>
      <c r="D44" s="28" t="s">
        <v>62</v>
      </c>
      <c r="E44" s="28" t="s">
        <v>53</v>
      </c>
      <c r="F44" s="28"/>
      <c r="G44" s="28" t="s">
        <v>14</v>
      </c>
      <c r="H44" s="28">
        <v>9.502799932122858E-4</v>
      </c>
      <c r="I44" s="28" t="s">
        <v>54</v>
      </c>
      <c r="J44" s="28">
        <v>0</v>
      </c>
      <c r="K44" s="28" t="s">
        <v>55</v>
      </c>
    </row>
    <row r="45" spans="1:11">
      <c r="A45" s="26" t="s">
        <v>13</v>
      </c>
      <c r="B45" s="25" t="s">
        <v>108</v>
      </c>
      <c r="C45" s="25" t="s">
        <v>52</v>
      </c>
      <c r="D45" s="25" t="s">
        <v>62</v>
      </c>
      <c r="E45" s="25" t="s">
        <v>53</v>
      </c>
      <c r="G45" s="25" t="s">
        <v>14</v>
      </c>
      <c r="H45" s="25">
        <v>1.7308671304938064E-3</v>
      </c>
      <c r="I45" s="25" t="s">
        <v>54</v>
      </c>
      <c r="J45" s="25">
        <v>0</v>
      </c>
      <c r="K45" s="25" t="s">
        <v>55</v>
      </c>
    </row>
    <row r="46" spans="1:11">
      <c r="A46" s="26" t="s">
        <v>13</v>
      </c>
      <c r="B46" s="25" t="s">
        <v>109</v>
      </c>
      <c r="C46" s="25" t="s">
        <v>52</v>
      </c>
      <c r="D46" s="25" t="s">
        <v>62</v>
      </c>
      <c r="E46" s="25" t="s">
        <v>53</v>
      </c>
      <c r="G46" s="25" t="s">
        <v>14</v>
      </c>
      <c r="H46" s="25">
        <v>1.2811810622772781E-3</v>
      </c>
      <c r="I46" s="25" t="s">
        <v>54</v>
      </c>
      <c r="J46" s="25">
        <v>0</v>
      </c>
      <c r="K46" s="25" t="s">
        <v>55</v>
      </c>
    </row>
    <row r="47" spans="1:11">
      <c r="A47" s="26" t="s">
        <v>13</v>
      </c>
      <c r="B47" s="25" t="s">
        <v>110</v>
      </c>
      <c r="C47" s="25" t="s">
        <v>52</v>
      </c>
      <c r="D47" s="25" t="s">
        <v>62</v>
      </c>
      <c r="E47" s="25" t="s">
        <v>53</v>
      </c>
      <c r="G47" s="25" t="s">
        <v>14</v>
      </c>
      <c r="H47" s="25">
        <v>8.6543356524690319E-4</v>
      </c>
      <c r="I47" s="25" t="s">
        <v>54</v>
      </c>
      <c r="J47" s="25">
        <v>0</v>
      </c>
      <c r="K47" s="25" t="s">
        <v>55</v>
      </c>
    </row>
    <row r="48" spans="1:11">
      <c r="A48" s="29" t="s">
        <v>13</v>
      </c>
      <c r="B48" s="30" t="s">
        <v>111</v>
      </c>
      <c r="C48" s="30" t="s">
        <v>52</v>
      </c>
      <c r="D48" s="30" t="s">
        <v>62</v>
      </c>
      <c r="E48" s="30" t="s">
        <v>53</v>
      </c>
      <c r="F48" s="30"/>
      <c r="G48" s="30" t="s">
        <v>14</v>
      </c>
      <c r="H48" s="30">
        <v>1.9684371287968776E-3</v>
      </c>
      <c r="I48" s="30" t="s">
        <v>54</v>
      </c>
      <c r="J48" s="30">
        <v>0</v>
      </c>
      <c r="K48" s="30" t="s">
        <v>55</v>
      </c>
    </row>
    <row r="49" spans="1:11">
      <c r="A49" s="27" t="s">
        <v>13</v>
      </c>
      <c r="B49" s="28" t="s">
        <v>112</v>
      </c>
      <c r="C49" s="28" t="s">
        <v>52</v>
      </c>
      <c r="D49" s="28" t="s">
        <v>62</v>
      </c>
      <c r="E49" s="28" t="s">
        <v>53</v>
      </c>
      <c r="F49" s="28"/>
      <c r="G49" s="28" t="s">
        <v>14</v>
      </c>
      <c r="H49" s="28">
        <v>8.145257084676736E-4</v>
      </c>
      <c r="I49" s="28" t="s">
        <v>54</v>
      </c>
      <c r="J49" s="28">
        <v>0</v>
      </c>
      <c r="K49" s="28" t="s">
        <v>55</v>
      </c>
    </row>
    <row r="50" spans="1:11">
      <c r="A50" s="26" t="s">
        <v>13</v>
      </c>
      <c r="B50" s="25" t="s">
        <v>113</v>
      </c>
      <c r="C50" s="25" t="s">
        <v>52</v>
      </c>
      <c r="D50" s="25" t="s">
        <v>62</v>
      </c>
      <c r="E50" s="25" t="s">
        <v>53</v>
      </c>
      <c r="G50" s="25" t="s">
        <v>14</v>
      </c>
      <c r="H50" s="25">
        <v>9.1634142202613267E-4</v>
      </c>
      <c r="I50" s="25" t="s">
        <v>54</v>
      </c>
      <c r="J50" s="25">
        <v>0</v>
      </c>
      <c r="K50" s="25" t="s">
        <v>55</v>
      </c>
    </row>
    <row r="51" spans="1:11">
      <c r="A51" s="26" t="s">
        <v>13</v>
      </c>
      <c r="B51" s="25" t="s">
        <v>114</v>
      </c>
      <c r="C51" s="25" t="s">
        <v>52</v>
      </c>
      <c r="D51" s="25" t="s">
        <v>62</v>
      </c>
      <c r="E51" s="25" t="s">
        <v>53</v>
      </c>
      <c r="G51" s="25" t="s">
        <v>14</v>
      </c>
      <c r="H51" s="25">
        <v>7.8907178007805881E-4</v>
      </c>
      <c r="I51" s="25" t="s">
        <v>54</v>
      </c>
      <c r="J51" s="25">
        <v>0</v>
      </c>
      <c r="K51" s="25" t="s">
        <v>55</v>
      </c>
    </row>
    <row r="52" spans="1:11">
      <c r="A52" s="26" t="s">
        <v>13</v>
      </c>
      <c r="B52" s="25" t="s">
        <v>115</v>
      </c>
      <c r="C52" s="25" t="s">
        <v>52</v>
      </c>
      <c r="D52" s="25" t="s">
        <v>62</v>
      </c>
      <c r="E52" s="25" t="s">
        <v>53</v>
      </c>
      <c r="G52" s="25" t="s">
        <v>14</v>
      </c>
      <c r="H52" s="25">
        <v>8.8240285083997965E-4</v>
      </c>
      <c r="I52" s="25" t="s">
        <v>54</v>
      </c>
      <c r="J52" s="25">
        <v>0</v>
      </c>
      <c r="K52" s="25" t="s">
        <v>55</v>
      </c>
    </row>
    <row r="53" spans="1:11">
      <c r="A53" s="29" t="s">
        <v>13</v>
      </c>
      <c r="B53" s="30" t="s">
        <v>116</v>
      </c>
      <c r="C53" s="30" t="s">
        <v>52</v>
      </c>
      <c r="D53" s="30" t="s">
        <v>62</v>
      </c>
      <c r="E53" s="30" t="s">
        <v>53</v>
      </c>
      <c r="F53" s="30"/>
      <c r="G53" s="30" t="s">
        <v>14</v>
      </c>
      <c r="H53" s="30">
        <v>1.0011878499915153E-3</v>
      </c>
      <c r="I53" s="30" t="s">
        <v>54</v>
      </c>
      <c r="J53" s="30">
        <v>0</v>
      </c>
      <c r="K53" s="30" t="s">
        <v>55</v>
      </c>
    </row>
    <row r="54" spans="1:11">
      <c r="A54" s="27" t="s">
        <v>13</v>
      </c>
      <c r="B54" s="28" t="s">
        <v>117</v>
      </c>
      <c r="C54" s="28" t="s">
        <v>52</v>
      </c>
      <c r="D54" s="28" t="s">
        <v>62</v>
      </c>
      <c r="E54" s="28" t="s">
        <v>53</v>
      </c>
      <c r="F54" s="28"/>
      <c r="G54" s="28" t="s">
        <v>14</v>
      </c>
      <c r="H54" s="28">
        <v>1.0520957067707451E-3</v>
      </c>
      <c r="I54" s="28" t="s">
        <v>54</v>
      </c>
      <c r="J54" s="28">
        <v>0</v>
      </c>
      <c r="K54" s="28" t="s">
        <v>55</v>
      </c>
    </row>
    <row r="55" spans="1:11">
      <c r="A55" s="26" t="s">
        <v>13</v>
      </c>
      <c r="B55" s="25" t="s">
        <v>118</v>
      </c>
      <c r="C55" s="25" t="s">
        <v>52</v>
      </c>
      <c r="D55" s="25" t="s">
        <v>62</v>
      </c>
      <c r="E55" s="25" t="s">
        <v>53</v>
      </c>
      <c r="G55" s="25" t="s">
        <v>14</v>
      </c>
      <c r="H55" s="25">
        <v>9.4179535041574746E-4</v>
      </c>
      <c r="I55" s="25" t="s">
        <v>54</v>
      </c>
      <c r="J55" s="25">
        <v>0</v>
      </c>
      <c r="K55" s="25" t="s">
        <v>55</v>
      </c>
    </row>
    <row r="56" spans="1:11">
      <c r="A56" s="26" t="s">
        <v>13</v>
      </c>
      <c r="B56" s="25" t="s">
        <v>119</v>
      </c>
      <c r="C56" s="25" t="s">
        <v>52</v>
      </c>
      <c r="D56" s="25" t="s">
        <v>62</v>
      </c>
      <c r="E56" s="25" t="s">
        <v>53</v>
      </c>
      <c r="G56" s="25" t="s">
        <v>14</v>
      </c>
      <c r="H56" s="25">
        <v>3.029017478364161E-3</v>
      </c>
      <c r="I56" s="25" t="s">
        <v>54</v>
      </c>
      <c r="J56" s="25">
        <v>0</v>
      </c>
      <c r="K56" s="25" t="s">
        <v>55</v>
      </c>
    </row>
    <row r="57" spans="1:11">
      <c r="A57" s="26" t="s">
        <v>13</v>
      </c>
      <c r="B57" s="25" t="s">
        <v>120</v>
      </c>
      <c r="C57" s="25" t="s">
        <v>52</v>
      </c>
      <c r="D57" s="25" t="s">
        <v>62</v>
      </c>
      <c r="E57" s="25" t="s">
        <v>53</v>
      </c>
      <c r="G57" s="25" t="s">
        <v>14</v>
      </c>
      <c r="H57" s="25">
        <v>3.7417274732733752E-3</v>
      </c>
      <c r="I57" s="25" t="s">
        <v>54</v>
      </c>
      <c r="J57" s="25">
        <v>0</v>
      </c>
      <c r="K57" s="25" t="s">
        <v>55</v>
      </c>
    </row>
    <row r="58" spans="1:11">
      <c r="A58" s="29" t="s">
        <v>13</v>
      </c>
      <c r="B58" s="30" t="s">
        <v>121</v>
      </c>
      <c r="C58" s="30" t="s">
        <v>52</v>
      </c>
      <c r="D58" s="30" t="s">
        <v>62</v>
      </c>
      <c r="E58" s="30" t="s">
        <v>53</v>
      </c>
      <c r="F58" s="30"/>
      <c r="G58" s="30" t="s">
        <v>14</v>
      </c>
      <c r="H58" s="30">
        <v>4.6241303241133548E-3</v>
      </c>
      <c r="I58" s="30" t="s">
        <v>54</v>
      </c>
      <c r="J58" s="30">
        <v>0</v>
      </c>
      <c r="K58" s="30" t="s">
        <v>55</v>
      </c>
    </row>
    <row r="59" spans="1:11">
      <c r="A59" s="27" t="s">
        <v>13</v>
      </c>
      <c r="B59" s="28" t="s">
        <v>122</v>
      </c>
      <c r="C59" s="28" t="s">
        <v>52</v>
      </c>
      <c r="D59" s="28" t="s">
        <v>62</v>
      </c>
      <c r="E59" s="28" t="s">
        <v>53</v>
      </c>
      <c r="F59" s="28"/>
      <c r="G59" s="28" t="s">
        <v>14</v>
      </c>
      <c r="H59" s="28">
        <v>1.1030035635499747E-3</v>
      </c>
      <c r="I59" s="28" t="s">
        <v>54</v>
      </c>
      <c r="J59" s="28">
        <v>0</v>
      </c>
      <c r="K59" s="28" t="s">
        <v>55</v>
      </c>
    </row>
    <row r="60" spans="1:11">
      <c r="A60" s="26" t="s">
        <v>13</v>
      </c>
      <c r="B60" s="25" t="s">
        <v>123</v>
      </c>
      <c r="C60" s="25" t="s">
        <v>52</v>
      </c>
      <c r="D60" s="25" t="s">
        <v>62</v>
      </c>
      <c r="E60" s="25" t="s">
        <v>53</v>
      </c>
      <c r="G60" s="25" t="s">
        <v>14</v>
      </c>
      <c r="H60" s="25">
        <v>1.0436110639742066E-3</v>
      </c>
      <c r="I60" s="25" t="s">
        <v>54</v>
      </c>
      <c r="J60" s="25">
        <v>0</v>
      </c>
      <c r="K60" s="25" t="s">
        <v>55</v>
      </c>
    </row>
    <row r="61" spans="1:11">
      <c r="A61" s="26" t="s">
        <v>13</v>
      </c>
      <c r="B61" s="25" t="s">
        <v>124</v>
      </c>
      <c r="C61" s="25" t="s">
        <v>52</v>
      </c>
      <c r="D61" s="25" t="s">
        <v>62</v>
      </c>
      <c r="E61" s="25" t="s">
        <v>53</v>
      </c>
      <c r="G61" s="25" t="s">
        <v>14</v>
      </c>
      <c r="H61" s="25">
        <v>8.145257084676736E-4</v>
      </c>
      <c r="I61" s="25" t="s">
        <v>54</v>
      </c>
      <c r="J61" s="25">
        <v>0</v>
      </c>
      <c r="K61" s="25" t="s">
        <v>55</v>
      </c>
    </row>
    <row r="62" spans="1:11">
      <c r="A62" s="29" t="s">
        <v>13</v>
      </c>
      <c r="B62" s="30" t="s">
        <v>125</v>
      </c>
      <c r="C62" s="30" t="s">
        <v>52</v>
      </c>
      <c r="D62" s="30" t="s">
        <v>62</v>
      </c>
      <c r="E62" s="30" t="s">
        <v>53</v>
      </c>
      <c r="F62" s="30"/>
      <c r="G62" s="30" t="s">
        <v>14</v>
      </c>
      <c r="H62" s="30">
        <v>9.502799932122858E-4</v>
      </c>
      <c r="I62" s="30" t="s">
        <v>54</v>
      </c>
      <c r="J62" s="30">
        <v>0</v>
      </c>
      <c r="K62" s="30" t="s">
        <v>55</v>
      </c>
    </row>
    <row r="63" spans="1:11">
      <c r="A63" s="33" t="s">
        <v>13</v>
      </c>
      <c r="B63" s="34" t="s">
        <v>126</v>
      </c>
      <c r="C63" s="34" t="s">
        <v>52</v>
      </c>
      <c r="D63" s="34" t="s">
        <v>62</v>
      </c>
      <c r="E63" s="34" t="s">
        <v>53</v>
      </c>
      <c r="F63" s="34"/>
      <c r="G63" s="34" t="s">
        <v>14</v>
      </c>
      <c r="H63" s="34">
        <v>1.0860342779568982E-3</v>
      </c>
      <c r="I63" s="34" t="s">
        <v>54</v>
      </c>
      <c r="J63" s="34">
        <v>0</v>
      </c>
      <c r="K63" s="34" t="s">
        <v>55</v>
      </c>
    </row>
    <row r="64" spans="1:11">
      <c r="A64" s="26" t="s">
        <v>13</v>
      </c>
      <c r="B64" s="25" t="s">
        <v>127</v>
      </c>
      <c r="C64" s="25" t="s">
        <v>52</v>
      </c>
      <c r="D64" s="25" t="s">
        <v>62</v>
      </c>
      <c r="E64" s="25" t="s">
        <v>53</v>
      </c>
      <c r="G64" s="25" t="s">
        <v>14</v>
      </c>
      <c r="H64" s="25">
        <v>9.2482606482267101E-4</v>
      </c>
      <c r="I64" s="25" t="s">
        <v>54</v>
      </c>
      <c r="J64" s="25">
        <v>0</v>
      </c>
      <c r="K64" s="25" t="s">
        <v>55</v>
      </c>
    </row>
    <row r="65" spans="1:11">
      <c r="A65" s="26" t="s">
        <v>13</v>
      </c>
      <c r="B65" s="25" t="s">
        <v>128</v>
      </c>
      <c r="C65" s="25" t="s">
        <v>52</v>
      </c>
      <c r="D65" s="25" t="s">
        <v>62</v>
      </c>
      <c r="E65" s="25" t="s">
        <v>53</v>
      </c>
      <c r="G65" s="25" t="s">
        <v>14</v>
      </c>
      <c r="H65" s="25">
        <v>9.6724927880536236E-4</v>
      </c>
      <c r="I65" s="25" t="s">
        <v>54</v>
      </c>
      <c r="J65" s="25">
        <v>0</v>
      </c>
      <c r="K65" s="25" t="s">
        <v>55</v>
      </c>
    </row>
    <row r="66" spans="1:11">
      <c r="A66" s="29" t="s">
        <v>13</v>
      </c>
      <c r="B66" s="30" t="s">
        <v>129</v>
      </c>
      <c r="C66" s="30" t="s">
        <v>52</v>
      </c>
      <c r="D66" s="30" t="s">
        <v>62</v>
      </c>
      <c r="E66" s="30" t="s">
        <v>53</v>
      </c>
      <c r="F66" s="30"/>
      <c r="G66" s="30" t="s">
        <v>14</v>
      </c>
      <c r="H66" s="30">
        <v>1.018157135584592E-3</v>
      </c>
      <c r="I66" s="30" t="s">
        <v>54</v>
      </c>
      <c r="J66" s="30">
        <v>0</v>
      </c>
      <c r="K66" s="30" t="s">
        <v>55</v>
      </c>
    </row>
    <row r="67" spans="1:11">
      <c r="A67" s="33" t="s">
        <v>13</v>
      </c>
      <c r="B67" s="34" t="s">
        <v>130</v>
      </c>
      <c r="C67" s="34" t="s">
        <v>52</v>
      </c>
      <c r="D67" s="34" t="s">
        <v>62</v>
      </c>
      <c r="E67" s="34" t="s">
        <v>53</v>
      </c>
      <c r="F67" s="34"/>
      <c r="G67" s="34" t="s">
        <v>14</v>
      </c>
      <c r="H67" s="34">
        <v>1.9005599864245716E-3</v>
      </c>
      <c r="I67" s="34" t="s">
        <v>54</v>
      </c>
      <c r="J67" s="34">
        <v>0</v>
      </c>
      <c r="K67" s="34" t="s">
        <v>55</v>
      </c>
    </row>
    <row r="68" spans="1:11">
      <c r="A68" s="26" t="s">
        <v>13</v>
      </c>
      <c r="B68" s="25" t="s">
        <v>131</v>
      </c>
      <c r="C68" s="25" t="s">
        <v>52</v>
      </c>
      <c r="D68" s="25" t="s">
        <v>62</v>
      </c>
      <c r="E68" s="25" t="s">
        <v>53</v>
      </c>
      <c r="G68" s="25" t="s">
        <v>14</v>
      </c>
      <c r="H68" s="25">
        <v>9.5876463600882414E-4</v>
      </c>
      <c r="I68" s="25" t="s">
        <v>54</v>
      </c>
      <c r="J68" s="25">
        <v>0</v>
      </c>
      <c r="K68" s="25" t="s">
        <v>55</v>
      </c>
    </row>
    <row r="69" spans="1:11">
      <c r="A69" s="29" t="s">
        <v>13</v>
      </c>
      <c r="B69" s="30" t="s">
        <v>132</v>
      </c>
      <c r="C69" s="30" t="s">
        <v>52</v>
      </c>
      <c r="D69" s="30" t="s">
        <v>62</v>
      </c>
      <c r="E69" s="30" t="s">
        <v>53</v>
      </c>
      <c r="F69" s="30"/>
      <c r="G69" s="30" t="s">
        <v>14</v>
      </c>
      <c r="H69" s="30">
        <v>1.942983200407263E-3</v>
      </c>
      <c r="I69" s="30" t="s">
        <v>54</v>
      </c>
      <c r="J69" s="30">
        <v>0</v>
      </c>
      <c r="K69" s="30" t="s">
        <v>55</v>
      </c>
    </row>
    <row r="70" spans="1:11">
      <c r="A70" s="33" t="s">
        <v>13</v>
      </c>
      <c r="B70" s="34" t="s">
        <v>133</v>
      </c>
      <c r="C70" s="34" t="s">
        <v>52</v>
      </c>
      <c r="D70" s="34" t="s">
        <v>62</v>
      </c>
      <c r="E70" s="34" t="s">
        <v>53</v>
      </c>
      <c r="F70" s="34"/>
      <c r="G70" s="34" t="s">
        <v>14</v>
      </c>
      <c r="H70" s="34">
        <v>8.8240285083997965E-4</v>
      </c>
      <c r="I70" s="34" t="s">
        <v>54</v>
      </c>
      <c r="J70" s="34">
        <v>0</v>
      </c>
      <c r="K70" s="34" t="s">
        <v>55</v>
      </c>
    </row>
    <row r="71" spans="1:11">
      <c r="A71" s="26" t="s">
        <v>13</v>
      </c>
      <c r="B71" s="25" t="s">
        <v>134</v>
      </c>
      <c r="C71" s="25" t="s">
        <v>52</v>
      </c>
      <c r="D71" s="25" t="s">
        <v>62</v>
      </c>
      <c r="E71" s="25" t="s">
        <v>53</v>
      </c>
      <c r="G71" s="25" t="s">
        <v>14</v>
      </c>
      <c r="H71" s="25">
        <v>1.1030035635499747E-3</v>
      </c>
      <c r="I71" s="25" t="s">
        <v>54</v>
      </c>
      <c r="J71" s="25">
        <v>0</v>
      </c>
      <c r="K71" s="25" t="s">
        <v>55</v>
      </c>
    </row>
    <row r="72" spans="1:11">
      <c r="A72" s="29" t="s">
        <v>13</v>
      </c>
      <c r="B72" s="30" t="s">
        <v>135</v>
      </c>
      <c r="C72" s="30" t="s">
        <v>52</v>
      </c>
      <c r="D72" s="30" t="s">
        <v>62</v>
      </c>
      <c r="E72" s="30" t="s">
        <v>53</v>
      </c>
      <c r="F72" s="30"/>
      <c r="G72" s="30" t="s">
        <v>14</v>
      </c>
      <c r="H72" s="30">
        <v>2.5369081961649415E-3</v>
      </c>
      <c r="I72" s="30" t="s">
        <v>54</v>
      </c>
      <c r="J72" s="30">
        <v>0</v>
      </c>
      <c r="K72" s="30" t="s">
        <v>55</v>
      </c>
    </row>
    <row r="73" spans="1:11">
      <c r="A73" s="33" t="s">
        <v>13</v>
      </c>
      <c r="B73" s="34" t="s">
        <v>136</v>
      </c>
      <c r="C73" s="34" t="s">
        <v>52</v>
      </c>
      <c r="D73" s="34" t="s">
        <v>62</v>
      </c>
      <c r="E73" s="34" t="s">
        <v>53</v>
      </c>
      <c r="F73" s="34"/>
      <c r="G73" s="34" t="s">
        <v>14</v>
      </c>
      <c r="H73" s="34">
        <v>1.0096724927880537E-3</v>
      </c>
      <c r="I73" s="34" t="s">
        <v>54</v>
      </c>
      <c r="J73" s="34">
        <v>0</v>
      </c>
      <c r="K73" s="34" t="s">
        <v>55</v>
      </c>
    </row>
    <row r="74" spans="1:11">
      <c r="A74" s="26" t="s">
        <v>13</v>
      </c>
      <c r="B74" s="25" t="s">
        <v>137</v>
      </c>
      <c r="C74" s="25" t="s">
        <v>52</v>
      </c>
      <c r="D74" s="25" t="s">
        <v>62</v>
      </c>
      <c r="E74" s="25" t="s">
        <v>53</v>
      </c>
      <c r="G74" s="25" t="s">
        <v>14</v>
      </c>
      <c r="H74" s="25">
        <v>1.2557271338876634E-3</v>
      </c>
      <c r="I74" s="25" t="s">
        <v>54</v>
      </c>
      <c r="J74" s="25">
        <v>0</v>
      </c>
      <c r="K74" s="25" t="s">
        <v>55</v>
      </c>
    </row>
    <row r="75" spans="1:11">
      <c r="A75" s="29" t="s">
        <v>13</v>
      </c>
      <c r="B75" s="30" t="s">
        <v>138</v>
      </c>
      <c r="C75" s="30" t="s">
        <v>52</v>
      </c>
      <c r="D75" s="30" t="s">
        <v>62</v>
      </c>
      <c r="E75" s="30" t="s">
        <v>53</v>
      </c>
      <c r="F75" s="30"/>
      <c r="G75" s="30" t="s">
        <v>14</v>
      </c>
      <c r="H75" s="30">
        <v>1.46784320380112E-3</v>
      </c>
      <c r="I75" s="30" t="s">
        <v>54</v>
      </c>
      <c r="J75" s="30">
        <v>0</v>
      </c>
      <c r="K75" s="30" t="s">
        <v>56</v>
      </c>
    </row>
    <row r="76" spans="1:11">
      <c r="A76" s="28" t="s">
        <v>57</v>
      </c>
      <c r="B76" s="28"/>
      <c r="C76" s="28"/>
      <c r="D76" s="28"/>
      <c r="E76" s="28"/>
      <c r="F76" s="28"/>
      <c r="G76" s="28"/>
      <c r="H76" s="28"/>
      <c r="I76" s="28"/>
      <c r="J76" s="28"/>
      <c r="K76" s="28"/>
    </row>
  </sheetData>
  <phoneticPr fontId="3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9"/>
  <sheetViews>
    <sheetView workbookViewId="0">
      <pane ySplit="1" topLeftCell="A2" activePane="bottomLeft" state="frozen"/>
      <selection pane="bottomLeft" activeCell="B1" sqref="B1:B1048576"/>
    </sheetView>
  </sheetViews>
  <sheetFormatPr defaultRowHeight="16.5"/>
  <cols>
    <col min="2" max="2" width="34.625" bestFit="1" customWidth="1"/>
    <col min="3" max="5" width="0" hidden="1" customWidth="1"/>
    <col min="6" max="6" width="10.25" hidden="1" customWidth="1"/>
    <col min="7" max="8" width="10.25" bestFit="1" customWidth="1"/>
  </cols>
  <sheetData>
    <row r="1" spans="1:8">
      <c r="A1" t="s">
        <v>0</v>
      </c>
      <c r="B1" s="2" t="s">
        <v>1</v>
      </c>
      <c r="C1" s="5">
        <v>1</v>
      </c>
      <c r="D1" s="6">
        <v>2</v>
      </c>
      <c r="E1" s="7" t="s">
        <v>7</v>
      </c>
      <c r="F1" s="7" t="s">
        <v>8</v>
      </c>
      <c r="G1" s="5" t="s">
        <v>9</v>
      </c>
      <c r="H1" s="6" t="s">
        <v>10</v>
      </c>
    </row>
    <row r="2" spans="1:8">
      <c r="A2" t="s">
        <v>2</v>
      </c>
      <c r="B2" t="s">
        <v>29</v>
      </c>
      <c r="C2" s="8">
        <v>76</v>
      </c>
      <c r="D2" s="9">
        <v>19</v>
      </c>
      <c r="E2" s="10">
        <f>SUM(C2:D2)</f>
        <v>95</v>
      </c>
      <c r="F2" s="19">
        <f>E2/$E$39</f>
        <v>1.6120821313422705E-2</v>
      </c>
      <c r="G2" s="20">
        <v>1.5314780247751569E-2</v>
      </c>
      <c r="H2" s="21">
        <v>8.0604106567113527E-4</v>
      </c>
    </row>
    <row r="3" spans="1:8">
      <c r="A3" t="s">
        <v>2</v>
      </c>
      <c r="B3" t="s">
        <v>30</v>
      </c>
      <c r="C3" s="8">
        <v>78</v>
      </c>
      <c r="D3" s="9">
        <v>23</v>
      </c>
      <c r="E3" s="10">
        <f t="shared" ref="E3:E38" si="0">SUM(C3:D3)</f>
        <v>101</v>
      </c>
      <c r="F3" s="19">
        <f t="shared" ref="F3:F39" si="1">E3/$E$39</f>
        <v>1.7138978449007296E-2</v>
      </c>
      <c r="G3" s="20">
        <v>1.628202952655693E-2</v>
      </c>
      <c r="H3" s="21">
        <v>8.5694892245036485E-4</v>
      </c>
    </row>
    <row r="4" spans="1:8">
      <c r="A4" t="s">
        <v>2</v>
      </c>
      <c r="B4" t="s">
        <v>31</v>
      </c>
      <c r="C4" s="8">
        <v>77</v>
      </c>
      <c r="D4" s="9">
        <v>31</v>
      </c>
      <c r="E4" s="10">
        <f t="shared" si="0"/>
        <v>108</v>
      </c>
      <c r="F4" s="19">
        <f t="shared" si="1"/>
        <v>1.8326828440522653E-2</v>
      </c>
      <c r="G4" s="20">
        <v>1.7410487018496519E-2</v>
      </c>
      <c r="H4" s="21">
        <v>9.1634142202613267E-4</v>
      </c>
    </row>
    <row r="5" spans="1:8">
      <c r="A5" t="s">
        <v>2</v>
      </c>
      <c r="B5" t="s">
        <v>32</v>
      </c>
      <c r="C5" s="8">
        <v>74</v>
      </c>
      <c r="D5" s="9">
        <v>39</v>
      </c>
      <c r="E5" s="10">
        <f t="shared" si="0"/>
        <v>113</v>
      </c>
      <c r="F5" s="19">
        <f t="shared" si="1"/>
        <v>1.9175292720176481E-2</v>
      </c>
      <c r="G5" s="20">
        <v>1.8216528084167655E-2</v>
      </c>
      <c r="H5" s="21">
        <v>9.5876463600882414E-4</v>
      </c>
    </row>
    <row r="6" spans="1:8">
      <c r="A6" s="1" t="s">
        <v>2</v>
      </c>
      <c r="B6" t="s">
        <v>33</v>
      </c>
      <c r="C6" s="11">
        <v>72</v>
      </c>
      <c r="D6" s="12">
        <v>35</v>
      </c>
      <c r="E6" s="16">
        <f t="shared" si="0"/>
        <v>107</v>
      </c>
      <c r="F6" s="22">
        <f t="shared" si="1"/>
        <v>1.815713558459189E-2</v>
      </c>
      <c r="G6" s="23">
        <v>1.7249278805362294E-2</v>
      </c>
      <c r="H6" s="24">
        <v>9.0785677922959455E-4</v>
      </c>
    </row>
    <row r="7" spans="1:8">
      <c r="A7" t="s">
        <v>3</v>
      </c>
      <c r="B7" t="s">
        <v>34</v>
      </c>
      <c r="C7" s="8">
        <v>78</v>
      </c>
      <c r="D7" s="13">
        <v>34</v>
      </c>
      <c r="E7" s="10">
        <f t="shared" si="0"/>
        <v>112</v>
      </c>
      <c r="F7" s="19">
        <f t="shared" si="1"/>
        <v>1.9005599864245715E-2</v>
      </c>
      <c r="G7" s="20">
        <v>1.805531987103343E-2</v>
      </c>
      <c r="H7" s="21">
        <v>9.502799932122858E-4</v>
      </c>
    </row>
    <row r="8" spans="1:8">
      <c r="A8" t="s">
        <v>3</v>
      </c>
      <c r="B8" t="s">
        <v>35</v>
      </c>
      <c r="C8" s="8">
        <v>151</v>
      </c>
      <c r="D8" s="13">
        <v>53</v>
      </c>
      <c r="E8" s="10">
        <f t="shared" si="0"/>
        <v>204</v>
      </c>
      <c r="F8" s="19">
        <f t="shared" si="1"/>
        <v>3.4617342609876124E-2</v>
      </c>
      <c r="G8" s="20">
        <v>3.2886475479382317E-2</v>
      </c>
      <c r="H8" s="21">
        <v>1.7308671304938064E-3</v>
      </c>
    </row>
    <row r="9" spans="1:8">
      <c r="A9" t="s">
        <v>3</v>
      </c>
      <c r="B9" t="s">
        <v>36</v>
      </c>
      <c r="C9" s="8">
        <v>132</v>
      </c>
      <c r="D9" s="9">
        <v>19</v>
      </c>
      <c r="E9" s="10">
        <f t="shared" si="0"/>
        <v>151</v>
      </c>
      <c r="F9" s="19">
        <f t="shared" si="1"/>
        <v>2.5623621245545562E-2</v>
      </c>
      <c r="G9" s="20">
        <v>2.4342440183268282E-2</v>
      </c>
      <c r="H9" s="21">
        <v>1.2811810622772781E-3</v>
      </c>
    </row>
    <row r="10" spans="1:8">
      <c r="A10" t="s">
        <v>3</v>
      </c>
      <c r="B10" t="s">
        <v>37</v>
      </c>
      <c r="C10" s="8">
        <v>77</v>
      </c>
      <c r="D10" s="9">
        <v>25</v>
      </c>
      <c r="E10" s="10">
        <f t="shared" si="0"/>
        <v>102</v>
      </c>
      <c r="F10" s="19">
        <f t="shared" si="1"/>
        <v>1.7308671304938062E-2</v>
      </c>
      <c r="G10" s="20">
        <v>1.6443237739691158E-2</v>
      </c>
      <c r="H10" s="21">
        <v>8.6543356524690319E-4</v>
      </c>
    </row>
    <row r="11" spans="1:8">
      <c r="A11" s="1" t="s">
        <v>3</v>
      </c>
      <c r="B11" t="s">
        <v>38</v>
      </c>
      <c r="C11" s="11">
        <v>185</v>
      </c>
      <c r="D11" s="12">
        <v>47</v>
      </c>
      <c r="E11" s="16">
        <f t="shared" si="0"/>
        <v>232</v>
      </c>
      <c r="F11" s="22">
        <f t="shared" si="1"/>
        <v>3.9368742575937553E-2</v>
      </c>
      <c r="G11" s="23">
        <v>3.7400305447140673E-2</v>
      </c>
      <c r="H11" s="24">
        <v>1.9684371287968776E-3</v>
      </c>
    </row>
    <row r="12" spans="1:8">
      <c r="A12" t="s">
        <v>4</v>
      </c>
      <c r="B12" t="s">
        <v>39</v>
      </c>
      <c r="C12" s="8">
        <v>85</v>
      </c>
      <c r="D12" s="13">
        <v>11</v>
      </c>
      <c r="E12" s="10">
        <f t="shared" si="0"/>
        <v>96</v>
      </c>
      <c r="F12" s="19">
        <f t="shared" si="1"/>
        <v>1.6290514169353471E-2</v>
      </c>
      <c r="G12" s="20">
        <v>1.5475988460885796E-2</v>
      </c>
      <c r="H12" s="21">
        <v>8.145257084676736E-4</v>
      </c>
    </row>
    <row r="13" spans="1:8">
      <c r="A13" t="s">
        <v>4</v>
      </c>
      <c r="B13" t="s">
        <v>40</v>
      </c>
      <c r="C13" s="8">
        <v>66</v>
      </c>
      <c r="D13" s="13">
        <v>42</v>
      </c>
      <c r="E13" s="10">
        <f t="shared" si="0"/>
        <v>108</v>
      </c>
      <c r="F13" s="19">
        <f t="shared" si="1"/>
        <v>1.8326828440522653E-2</v>
      </c>
      <c r="G13" s="20">
        <v>1.7410487018496519E-2</v>
      </c>
      <c r="H13" s="21">
        <v>9.1634142202613267E-4</v>
      </c>
    </row>
    <row r="14" spans="1:8">
      <c r="A14" t="s">
        <v>4</v>
      </c>
      <c r="B14" t="s">
        <v>41</v>
      </c>
      <c r="C14" s="8">
        <v>81</v>
      </c>
      <c r="D14" s="9">
        <v>12</v>
      </c>
      <c r="E14" s="10">
        <f t="shared" si="0"/>
        <v>93</v>
      </c>
      <c r="F14" s="19">
        <f t="shared" si="1"/>
        <v>1.5781435601561176E-2</v>
      </c>
      <c r="G14" s="20">
        <v>1.4992363821483116E-2</v>
      </c>
      <c r="H14" s="21">
        <v>7.8907178007805881E-4</v>
      </c>
    </row>
    <row r="15" spans="1:8">
      <c r="A15" t="s">
        <v>4</v>
      </c>
      <c r="B15" t="s">
        <v>42</v>
      </c>
      <c r="C15" s="8">
        <v>65</v>
      </c>
      <c r="D15" s="9">
        <v>39</v>
      </c>
      <c r="E15" s="10">
        <f t="shared" si="0"/>
        <v>104</v>
      </c>
      <c r="F15" s="19">
        <f t="shared" si="1"/>
        <v>1.7648057016799591E-2</v>
      </c>
      <c r="G15" s="20">
        <v>1.6765654165959612E-2</v>
      </c>
      <c r="H15" s="21">
        <v>8.8240285083997965E-4</v>
      </c>
    </row>
    <row r="16" spans="1:8">
      <c r="A16" s="1" t="s">
        <v>4</v>
      </c>
      <c r="B16" t="s">
        <v>43</v>
      </c>
      <c r="C16" s="11">
        <v>81</v>
      </c>
      <c r="D16" s="12">
        <v>37</v>
      </c>
      <c r="E16" s="16">
        <f t="shared" si="0"/>
        <v>118</v>
      </c>
      <c r="F16" s="22">
        <f t="shared" si="1"/>
        <v>2.0023756999830306E-2</v>
      </c>
      <c r="G16" s="23">
        <v>1.902256914983879E-2</v>
      </c>
      <c r="H16" s="24">
        <v>1.0011878499915153E-3</v>
      </c>
    </row>
    <row r="17" spans="1:8">
      <c r="A17" t="s">
        <v>5</v>
      </c>
      <c r="B17" t="s">
        <v>44</v>
      </c>
      <c r="C17" s="14">
        <v>87</v>
      </c>
      <c r="D17" s="13">
        <v>37</v>
      </c>
      <c r="E17" s="10">
        <f t="shared" si="0"/>
        <v>124</v>
      </c>
      <c r="F17" s="19">
        <f t="shared" si="1"/>
        <v>2.10419141354149E-2</v>
      </c>
      <c r="G17" s="20">
        <v>1.9989818428644154E-2</v>
      </c>
      <c r="H17" s="21">
        <v>1.0520957067707451E-3</v>
      </c>
    </row>
    <row r="18" spans="1:8">
      <c r="A18" t="s">
        <v>5</v>
      </c>
      <c r="B18" t="s">
        <v>45</v>
      </c>
      <c r="C18" s="14">
        <v>82</v>
      </c>
      <c r="D18" s="9">
        <v>29</v>
      </c>
      <c r="E18" s="10">
        <f t="shared" si="0"/>
        <v>111</v>
      </c>
      <c r="F18" s="19">
        <f t="shared" si="1"/>
        <v>1.8835907008314948E-2</v>
      </c>
      <c r="G18" s="20">
        <v>1.7894111657899201E-2</v>
      </c>
      <c r="H18" s="21">
        <v>9.4179535041574746E-4</v>
      </c>
    </row>
    <row r="19" spans="1:8">
      <c r="A19" t="s">
        <v>5</v>
      </c>
      <c r="B19" t="s">
        <v>46</v>
      </c>
      <c r="C19" s="14">
        <v>293</v>
      </c>
      <c r="D19" s="9">
        <v>64</v>
      </c>
      <c r="E19" s="10">
        <f t="shared" si="0"/>
        <v>357</v>
      </c>
      <c r="F19" s="19">
        <f t="shared" si="1"/>
        <v>6.0580349567283219E-2</v>
      </c>
      <c r="G19" s="20">
        <v>5.7551332088919056E-2</v>
      </c>
      <c r="H19" s="21">
        <v>3.029017478364161E-3</v>
      </c>
    </row>
    <row r="20" spans="1:8">
      <c r="A20" t="s">
        <v>5</v>
      </c>
      <c r="B20" t="s">
        <v>47</v>
      </c>
      <c r="C20" s="14">
        <v>370</v>
      </c>
      <c r="D20" s="9">
        <v>71</v>
      </c>
      <c r="E20" s="10">
        <f t="shared" si="0"/>
        <v>441</v>
      </c>
      <c r="F20" s="19">
        <f t="shared" si="1"/>
        <v>7.4834549465467498E-2</v>
      </c>
      <c r="G20" s="20">
        <v>7.1092821992194119E-2</v>
      </c>
      <c r="H20" s="21">
        <v>3.7417274732733752E-3</v>
      </c>
    </row>
    <row r="21" spans="1:8">
      <c r="A21" s="1" t="s">
        <v>5</v>
      </c>
      <c r="B21" t="s">
        <v>48</v>
      </c>
      <c r="C21" s="11">
        <v>448</v>
      </c>
      <c r="D21" s="12">
        <v>97</v>
      </c>
      <c r="E21" s="16">
        <f t="shared" si="0"/>
        <v>545</v>
      </c>
      <c r="F21" s="22">
        <f t="shared" si="1"/>
        <v>9.2482606482267096E-2</v>
      </c>
      <c r="G21" s="23">
        <v>8.7858476158153731E-2</v>
      </c>
      <c r="H21" s="24">
        <v>4.6241303241133548E-3</v>
      </c>
    </row>
    <row r="22" spans="1:8">
      <c r="A22" t="s">
        <v>6</v>
      </c>
      <c r="B22" s="2" t="s">
        <v>16</v>
      </c>
      <c r="C22" s="14">
        <v>95</v>
      </c>
      <c r="D22" s="13">
        <v>35</v>
      </c>
      <c r="E22" s="10">
        <f t="shared" si="0"/>
        <v>130</v>
      </c>
      <c r="F22" s="19">
        <f t="shared" si="1"/>
        <v>2.2060071270999491E-2</v>
      </c>
      <c r="G22" s="20">
        <v>2.0957067707449515E-2</v>
      </c>
      <c r="H22" s="21">
        <v>1.1030035635499747E-3</v>
      </c>
    </row>
    <row r="23" spans="1:8">
      <c r="A23" t="s">
        <v>6</v>
      </c>
      <c r="B23" s="2" t="s">
        <v>19</v>
      </c>
      <c r="C23" s="14">
        <v>90</v>
      </c>
      <c r="D23" s="13">
        <v>33</v>
      </c>
      <c r="E23" s="10">
        <f t="shared" si="0"/>
        <v>123</v>
      </c>
      <c r="F23" s="19">
        <f t="shared" si="1"/>
        <v>2.0872221279484134E-2</v>
      </c>
      <c r="G23" s="20">
        <v>1.9828610215509926E-2</v>
      </c>
      <c r="H23" s="21">
        <v>1.0436110639742066E-3</v>
      </c>
    </row>
    <row r="24" spans="1:8">
      <c r="A24" t="s">
        <v>6</v>
      </c>
      <c r="B24" s="2" t="s">
        <v>18</v>
      </c>
      <c r="C24" s="14">
        <v>80</v>
      </c>
      <c r="D24" s="13">
        <v>16</v>
      </c>
      <c r="E24" s="10">
        <f t="shared" si="0"/>
        <v>96</v>
      </c>
      <c r="F24" s="19">
        <f t="shared" si="1"/>
        <v>1.6290514169353471E-2</v>
      </c>
      <c r="G24" s="20">
        <v>1.5475988460885796E-2</v>
      </c>
      <c r="H24" s="21">
        <v>8.145257084676736E-4</v>
      </c>
    </row>
    <row r="25" spans="1:8">
      <c r="A25" s="1" t="s">
        <v>6</v>
      </c>
      <c r="B25" s="3" t="s">
        <v>21</v>
      </c>
      <c r="C25" s="11">
        <v>79</v>
      </c>
      <c r="D25" s="12">
        <v>33</v>
      </c>
      <c r="E25" s="16">
        <f t="shared" si="0"/>
        <v>112</v>
      </c>
      <c r="F25" s="22">
        <f t="shared" si="1"/>
        <v>1.9005599864245715E-2</v>
      </c>
      <c r="G25" s="23">
        <v>1.805531987103343E-2</v>
      </c>
      <c r="H25" s="24">
        <v>9.502799932122858E-4</v>
      </c>
    </row>
    <row r="26" spans="1:8">
      <c r="A26" t="s">
        <v>6</v>
      </c>
      <c r="B26" s="2" t="s">
        <v>63</v>
      </c>
      <c r="C26" s="14">
        <v>87</v>
      </c>
      <c r="D26" s="13">
        <v>41</v>
      </c>
      <c r="E26" s="10">
        <f t="shared" si="0"/>
        <v>128</v>
      </c>
      <c r="F26" s="19">
        <f t="shared" si="1"/>
        <v>2.1720685559137962E-2</v>
      </c>
      <c r="G26" s="20">
        <v>2.0634651281181061E-2</v>
      </c>
      <c r="H26" s="21">
        <v>1.0860342779568982E-3</v>
      </c>
    </row>
    <row r="27" spans="1:8">
      <c r="A27" t="s">
        <v>6</v>
      </c>
      <c r="B27" s="2" t="s">
        <v>20</v>
      </c>
      <c r="C27" s="14">
        <v>80</v>
      </c>
      <c r="D27" s="13">
        <v>29</v>
      </c>
      <c r="E27" s="10">
        <f t="shared" si="0"/>
        <v>109</v>
      </c>
      <c r="F27" s="19">
        <f t="shared" si="1"/>
        <v>1.8496521296453419E-2</v>
      </c>
      <c r="G27" s="20">
        <v>1.7571695231630748E-2</v>
      </c>
      <c r="H27" s="21">
        <v>9.2482606482267101E-4</v>
      </c>
    </row>
    <row r="28" spans="1:8">
      <c r="A28" t="s">
        <v>6</v>
      </c>
      <c r="B28" s="2" t="s">
        <v>17</v>
      </c>
      <c r="C28" s="14">
        <v>85</v>
      </c>
      <c r="D28" s="13">
        <v>29</v>
      </c>
      <c r="E28" s="10">
        <f t="shared" si="0"/>
        <v>114</v>
      </c>
      <c r="F28" s="19">
        <f t="shared" si="1"/>
        <v>1.9344985576107247E-2</v>
      </c>
      <c r="G28" s="20">
        <v>1.8377736297301883E-2</v>
      </c>
      <c r="H28" s="21">
        <v>9.6724927880536236E-4</v>
      </c>
    </row>
    <row r="29" spans="1:8">
      <c r="A29" s="1" t="s">
        <v>6</v>
      </c>
      <c r="B29" s="3" t="s">
        <v>22</v>
      </c>
      <c r="C29" s="11">
        <v>85</v>
      </c>
      <c r="D29" s="12">
        <v>35</v>
      </c>
      <c r="E29" s="16">
        <f t="shared" si="0"/>
        <v>120</v>
      </c>
      <c r="F29" s="22">
        <f t="shared" si="1"/>
        <v>2.0363142711691838E-2</v>
      </c>
      <c r="G29" s="23">
        <v>1.9344985576107244E-2</v>
      </c>
      <c r="H29" s="24">
        <v>1.018157135584592E-3</v>
      </c>
    </row>
    <row r="30" spans="1:8">
      <c r="A30" t="s">
        <v>6</v>
      </c>
      <c r="B30" s="2" t="s">
        <v>23</v>
      </c>
      <c r="C30" s="14">
        <v>193</v>
      </c>
      <c r="D30" s="13">
        <v>31</v>
      </c>
      <c r="E30" s="10">
        <f t="shared" si="0"/>
        <v>224</v>
      </c>
      <c r="F30" s="19">
        <f t="shared" si="1"/>
        <v>3.8011199728491429E-2</v>
      </c>
      <c r="G30" s="20">
        <v>3.6110639742066859E-2</v>
      </c>
      <c r="H30" s="21">
        <v>1.9005599864245716E-3</v>
      </c>
    </row>
    <row r="31" spans="1:8">
      <c r="A31" t="s">
        <v>6</v>
      </c>
      <c r="B31" s="2" t="s">
        <v>24</v>
      </c>
      <c r="C31" s="14">
        <v>78</v>
      </c>
      <c r="D31" s="13">
        <v>35</v>
      </c>
      <c r="E31" s="10">
        <f t="shared" si="0"/>
        <v>113</v>
      </c>
      <c r="F31" s="19">
        <f t="shared" si="1"/>
        <v>1.9175292720176481E-2</v>
      </c>
      <c r="G31" s="20">
        <v>1.8216528084167655E-2</v>
      </c>
      <c r="H31" s="21">
        <v>9.5876463600882414E-4</v>
      </c>
    </row>
    <row r="32" spans="1:8">
      <c r="A32" s="1" t="s">
        <v>6</v>
      </c>
      <c r="B32" s="3" t="s">
        <v>25</v>
      </c>
      <c r="C32" s="11">
        <v>187</v>
      </c>
      <c r="D32" s="12">
        <v>42</v>
      </c>
      <c r="E32" s="16">
        <f t="shared" si="0"/>
        <v>229</v>
      </c>
      <c r="F32" s="22">
        <f t="shared" si="1"/>
        <v>3.8859664008145257E-2</v>
      </c>
      <c r="G32" s="23">
        <v>3.6916680807737995E-2</v>
      </c>
      <c r="H32" s="24">
        <v>1.942983200407263E-3</v>
      </c>
    </row>
    <row r="33" spans="1:8">
      <c r="A33" t="s">
        <v>6</v>
      </c>
      <c r="B33" s="2" t="s">
        <v>26</v>
      </c>
      <c r="C33" s="14">
        <v>74</v>
      </c>
      <c r="D33" s="13">
        <v>30</v>
      </c>
      <c r="E33" s="10">
        <f t="shared" si="0"/>
        <v>104</v>
      </c>
      <c r="F33" s="19">
        <f t="shared" si="1"/>
        <v>1.7648057016799591E-2</v>
      </c>
      <c r="G33" s="20">
        <v>1.6765654165959612E-2</v>
      </c>
      <c r="H33" s="21">
        <v>8.8240285083997965E-4</v>
      </c>
    </row>
    <row r="34" spans="1:8">
      <c r="A34" t="s">
        <v>6</v>
      </c>
      <c r="B34" s="2" t="s">
        <v>27</v>
      </c>
      <c r="C34" s="14">
        <v>99</v>
      </c>
      <c r="D34" s="13">
        <v>31</v>
      </c>
      <c r="E34" s="10">
        <f t="shared" si="0"/>
        <v>130</v>
      </c>
      <c r="F34" s="19">
        <f t="shared" si="1"/>
        <v>2.2060071270999491E-2</v>
      </c>
      <c r="G34" s="20">
        <v>2.0957067707449515E-2</v>
      </c>
      <c r="H34" s="21">
        <v>1.1030035635499747E-3</v>
      </c>
    </row>
    <row r="35" spans="1:8">
      <c r="A35" s="1" t="s">
        <v>6</v>
      </c>
      <c r="B35" s="3" t="s">
        <v>28</v>
      </c>
      <c r="C35" s="11">
        <v>257</v>
      </c>
      <c r="D35" s="12">
        <v>42</v>
      </c>
      <c r="E35" s="16">
        <f t="shared" si="0"/>
        <v>299</v>
      </c>
      <c r="F35" s="22">
        <f t="shared" si="1"/>
        <v>5.0738163923298829E-2</v>
      </c>
      <c r="G35" s="23">
        <v>4.8201255727133886E-2</v>
      </c>
      <c r="H35" s="24">
        <v>2.5369081961649415E-3</v>
      </c>
    </row>
    <row r="36" spans="1:8">
      <c r="A36" t="s">
        <v>11</v>
      </c>
      <c r="B36" t="s">
        <v>49</v>
      </c>
      <c r="C36" s="14">
        <v>82</v>
      </c>
      <c r="D36" s="13">
        <v>37</v>
      </c>
      <c r="E36" s="10">
        <f t="shared" si="0"/>
        <v>119</v>
      </c>
      <c r="F36" s="19">
        <f t="shared" si="1"/>
        <v>2.0193449855761072E-2</v>
      </c>
      <c r="G36" s="20">
        <v>1.9183777362973019E-2</v>
      </c>
      <c r="H36" s="21">
        <v>1.0096724927880537E-3</v>
      </c>
    </row>
    <row r="37" spans="1:8">
      <c r="A37" t="s">
        <v>11</v>
      </c>
      <c r="B37" t="s">
        <v>50</v>
      </c>
      <c r="C37" s="14">
        <v>105</v>
      </c>
      <c r="D37" s="13">
        <v>43</v>
      </c>
      <c r="E37" s="10">
        <f t="shared" si="0"/>
        <v>148</v>
      </c>
      <c r="F37" s="19">
        <f t="shared" si="1"/>
        <v>2.5114542677753267E-2</v>
      </c>
      <c r="G37" s="20">
        <v>2.3858815543865604E-2</v>
      </c>
      <c r="H37" s="21">
        <v>1.2557271338876634E-3</v>
      </c>
    </row>
    <row r="38" spans="1:8">
      <c r="A38" t="s">
        <v>11</v>
      </c>
      <c r="B38" t="s">
        <v>51</v>
      </c>
      <c r="C38" s="11">
        <v>140</v>
      </c>
      <c r="D38" s="12">
        <v>33</v>
      </c>
      <c r="E38" s="16">
        <f t="shared" si="0"/>
        <v>173</v>
      </c>
      <c r="F38" s="22">
        <f t="shared" si="1"/>
        <v>2.93568640760224E-2</v>
      </c>
      <c r="G38" s="23">
        <v>2.7889020872221278E-2</v>
      </c>
      <c r="H38" s="24">
        <v>1.46784320380112E-3</v>
      </c>
    </row>
    <row r="39" spans="1:8">
      <c r="B39" s="4" t="s">
        <v>7</v>
      </c>
      <c r="C39" s="15">
        <f>SUM(C2:C38)</f>
        <v>4554</v>
      </c>
      <c r="D39" s="17">
        <f t="shared" ref="D39:E39" si="2">SUM(D2:D38)</f>
        <v>1339</v>
      </c>
      <c r="E39" s="18">
        <f t="shared" si="2"/>
        <v>5893</v>
      </c>
      <c r="F39" s="19">
        <f t="shared" si="1"/>
        <v>1</v>
      </c>
      <c r="G39" s="20">
        <f t="shared" ref="G39" si="3">F39*0.95</f>
        <v>0.95</v>
      </c>
      <c r="H39" s="21">
        <f t="shared" ref="H39" si="4">F39*0.05</f>
        <v>0.05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자료</vt:lpstr>
      <vt:lpstr>Sheet1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starcom</dc:creator>
  <cp:lastModifiedBy>starcom</cp:lastModifiedBy>
  <dcterms:created xsi:type="dcterms:W3CDTF">2015-06-20T04:54:51Z</dcterms:created>
  <dcterms:modified xsi:type="dcterms:W3CDTF">2015-06-20T08:04:31Z</dcterms:modified>
</cp:coreProperties>
</file>